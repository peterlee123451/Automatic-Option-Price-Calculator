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eter\Documents\R files\"/>
    </mc:Choice>
  </mc:AlternateContent>
  <xr:revisionPtr revIDLastSave="0" documentId="13_ncr:1_{70DAAD43-2CD7-4855-9E3E-1BC6519964FE}" xr6:coauthVersionLast="47" xr6:coauthVersionMax="47" xr10:uidLastSave="{00000000-0000-0000-0000-000000000000}"/>
  <bookViews>
    <workbookView xWindow="-110" yWindow="-110" windowWidth="38620" windowHeight="21100" firstSheet="2" activeTab="3" xr2:uid="{8D8E21DC-6073-420C-9791-9F52603735EB}"/>
  </bookViews>
  <sheets>
    <sheet name="Hidden" sheetId="4" state="hidden" r:id="rId1"/>
    <sheet name="Hidden2" sheetId="5" state="hidden" r:id="rId2"/>
    <sheet name="Controls" sheetId="1" r:id="rId3"/>
    <sheet name="Dashboard" sheetId="6" r:id="rId4"/>
  </sheets>
  <externalReferences>
    <externalReference r:id="rId5"/>
  </externalReferences>
  <definedNames>
    <definedName name="_xleta.CONFIDENCE" hidden="1" xlm="1">#NAME?</definedName>
    <definedName name="_xleta.PRIC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6" l="1"/>
  <c r="B28" i="5" s="1"/>
  <c r="B24" i="6" s="1"/>
  <c r="B26" i="6"/>
  <c r="B23" i="6"/>
  <c r="C2" i="6"/>
  <c r="C23" i="5"/>
  <c r="D23" i="5" s="1"/>
  <c r="C22" i="5"/>
  <c r="D22" i="5" s="1"/>
  <c r="C21" i="5"/>
  <c r="D21" i="5" s="1"/>
  <c r="C20" i="5"/>
  <c r="D20" i="5" s="1"/>
  <c r="C19" i="5"/>
  <c r="D19" i="5" s="1"/>
  <c r="C18" i="5"/>
  <c r="D18" i="5" s="1"/>
  <c r="C17" i="5"/>
  <c r="D17" i="5" s="1"/>
  <c r="J16" i="5"/>
  <c r="B8" i="5" a="1"/>
  <c r="B8" i="5" l="1"/>
  <c r="C20" i="6"/>
  <c r="S7" i="1" l="1"/>
  <c r="S8" i="1"/>
  <c r="S6" i="1"/>
  <c r="C16" i="6" s="1"/>
  <c r="P7" i="1"/>
  <c r="P8" i="1"/>
  <c r="C18" i="6" s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6" i="1"/>
  <c r="M5" i="4"/>
  <c r="O8" i="1" s="1"/>
  <c r="M6" i="4"/>
  <c r="O9" i="1" s="1"/>
  <c r="M7" i="4"/>
  <c r="O10" i="1" s="1"/>
  <c r="M8" i="4"/>
  <c r="O11" i="1" s="1"/>
  <c r="M9" i="4"/>
  <c r="O12" i="1" s="1"/>
  <c r="M10" i="4"/>
  <c r="O13" i="1" s="1"/>
  <c r="M11" i="4"/>
  <c r="O14" i="1" s="1"/>
  <c r="M12" i="4"/>
  <c r="O15" i="1" s="1"/>
  <c r="M13" i="4"/>
  <c r="O16" i="1" s="1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4" i="4"/>
  <c r="O7" i="1" s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3" i="4"/>
  <c r="H3" i="4"/>
  <c r="G3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" i="4"/>
  <c r="C2" i="1"/>
  <c r="F21" i="5" l="1"/>
  <c r="F17" i="5"/>
  <c r="F18" i="5"/>
  <c r="G21" i="5"/>
  <c r="G20" i="5"/>
  <c r="F20" i="5"/>
  <c r="F22" i="5"/>
  <c r="G22" i="5"/>
  <c r="G18" i="5"/>
  <c r="G23" i="5"/>
  <c r="G17" i="5"/>
  <c r="G19" i="5"/>
  <c r="F23" i="5"/>
  <c r="F19" i="5"/>
  <c r="E3" i="5"/>
  <c r="E4" i="5" l="1"/>
  <c r="C3" i="5"/>
  <c r="C4" i="5" s="1"/>
  <c r="F7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sharedStrings.xml><?xml version="1.0" encoding="utf-8"?>
<sst xmlns="http://schemas.openxmlformats.org/spreadsheetml/2006/main" count="110" uniqueCount="81">
  <si>
    <t>Volatility Calculator (Automatic)</t>
  </si>
  <si>
    <t>Portfolio</t>
  </si>
  <si>
    <t>Stocks (Ticker)</t>
  </si>
  <si>
    <t>Exchange</t>
  </si>
  <si>
    <t>$ Amount</t>
  </si>
  <si>
    <t>TSLA</t>
  </si>
  <si>
    <t>CBA</t>
  </si>
  <si>
    <t>US</t>
  </si>
  <si>
    <t>London</t>
  </si>
  <si>
    <t>ASX</t>
  </si>
  <si>
    <t>.AX</t>
  </si>
  <si>
    <t>.L</t>
  </si>
  <si>
    <t>#</t>
  </si>
  <si>
    <t>Years:</t>
  </si>
  <si>
    <t>Date</t>
  </si>
  <si>
    <t>Remove Covid?</t>
  </si>
  <si>
    <t>Rm Covid</t>
  </si>
  <si>
    <t>Yes</t>
  </si>
  <si>
    <t>No</t>
  </si>
  <si>
    <t>Stock Tickers</t>
  </si>
  <si>
    <t>Years</t>
  </si>
  <si>
    <t>Covid</t>
  </si>
  <si>
    <t>$</t>
  </si>
  <si>
    <t>Raw Output</t>
  </si>
  <si>
    <t>Por_SD_Output</t>
  </si>
  <si>
    <t>TSLA.Adjusted</t>
  </si>
  <si>
    <t>CBA.AX.Adjusted</t>
  </si>
  <si>
    <t>Controls</t>
  </si>
  <si>
    <t>RR</t>
  </si>
  <si>
    <t>RR.L.Adjusted</t>
  </si>
  <si>
    <t>NAB</t>
  </si>
  <si>
    <t>NAB.AX.Adjusted</t>
  </si>
  <si>
    <t>GS</t>
  </si>
  <si>
    <t>GS.Adjusted</t>
  </si>
  <si>
    <t>IONQ</t>
  </si>
  <si>
    <t>RGTI</t>
  </si>
  <si>
    <t>IONQ.Adjusted</t>
  </si>
  <si>
    <t>RGTI.Adjusted</t>
  </si>
  <si>
    <t>Output Volatility</t>
  </si>
  <si>
    <t>UK</t>
  </si>
  <si>
    <t>AU</t>
  </si>
  <si>
    <t>DTB3</t>
  </si>
  <si>
    <t>IRLTLT01GBM156N</t>
  </si>
  <si>
    <t>IR3TIB01AUM156N</t>
  </si>
  <si>
    <t xml:space="preserve">Output Risk free </t>
  </si>
  <si>
    <t>Vanilla</t>
  </si>
  <si>
    <t>Call</t>
  </si>
  <si>
    <t>d1</t>
  </si>
  <si>
    <t>Put</t>
  </si>
  <si>
    <t>d2</t>
  </si>
  <si>
    <t>Price</t>
  </si>
  <si>
    <t>C.I</t>
  </si>
  <si>
    <t>alpha</t>
  </si>
  <si>
    <t>LB</t>
  </si>
  <si>
    <t>UB</t>
  </si>
  <si>
    <t>Title</t>
  </si>
  <si>
    <t xml:space="preserve">Projection of </t>
  </si>
  <si>
    <t>Under Risk-neutral Geometric brownian motion framework</t>
  </si>
  <si>
    <t>Link</t>
  </si>
  <si>
    <t>https://au.finance.yahoo.com/quote/</t>
  </si>
  <si>
    <t>https://www.linkedin.com/in/peter-lee-902920231/</t>
  </si>
  <si>
    <t>Time</t>
  </si>
  <si>
    <t>Parameters</t>
  </si>
  <si>
    <t>Vanilla (European)</t>
  </si>
  <si>
    <t>Risk-Neutral Stock Price Projection</t>
  </si>
  <si>
    <t>Ticker:</t>
  </si>
  <si>
    <t>Contract</t>
  </si>
  <si>
    <t>Expiry Date:</t>
  </si>
  <si>
    <t>Volatility:</t>
  </si>
  <si>
    <t>Dividend Yield (p.a):</t>
  </si>
  <si>
    <t>Risk free Rate:</t>
  </si>
  <si>
    <t>Strike Price:</t>
  </si>
  <si>
    <t>Contact me</t>
  </si>
  <si>
    <t>Exchange:</t>
  </si>
  <si>
    <t>Price:</t>
  </si>
  <si>
    <t>AAPL</t>
  </si>
  <si>
    <t>NVDA</t>
  </si>
  <si>
    <t>AMZN</t>
  </si>
  <si>
    <t>AAPL.Adjusted</t>
  </si>
  <si>
    <t>NVDA.Adjusted</t>
  </si>
  <si>
    <t>AMZN.Adjusted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</si>
</sst>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7" formatCode="0.0000%"/>
    <numFmt numFmtId="168" formatCode="_-[$$-C09]* #,##0.00_-;\-[$$-C09]* #,##0.00_-;_-[$$-C09]* &quot;-&quot;??_-;_-@_-"/>
    <numFmt numFmtId="173" formatCode="0.0000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indexed="1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F2F2F2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9" fontId="1" fillId="0" borderId="0" applyFont="0" applyFill="0" applyBorder="0" applyAlignment="0" applyProtection="0"/>
    <xf numFmtId="0" fontId="5" fillId="4" borderId="1" applyNumberFormat="0" applyAlignment="0" applyProtection="0"/>
    <xf numFmtId="0" fontId="6" fillId="0" borderId="6" applyNumberFormat="0" applyFill="0" applyAlignment="0" applyProtection="0"/>
    <xf numFmtId="0" fontId="7" fillId="0" borderId="0" applyNumberFormat="0" applyFill="0" applyBorder="0" applyAlignment="0" applyProtection="0"/>
  </cellStyleXfs>
  <cellXfs count="23">
    <xf numFmtId="0" fontId="0" fillId="0" borderId="0" xfId="0"/>
    <xf numFmtId="0" fontId="3" fillId="0" borderId="0" xfId="0" applyFont="1"/>
    <xf numFmtId="0" fontId="3" fillId="0" borderId="3" xfId="0" applyFont="1" applyBorder="1"/>
    <xf numFmtId="0" fontId="0" fillId="0" borderId="3" xfId="0" applyBorder="1"/>
    <xf numFmtId="0" fontId="3" fillId="0" borderId="4" xfId="0" applyFont="1" applyBorder="1"/>
    <xf numFmtId="0" fontId="2" fillId="2" borderId="5" xfId="1" applyBorder="1"/>
    <xf numFmtId="22" fontId="0" fillId="3" borderId="2" xfId="2" applyNumberFormat="1" applyFont="1"/>
    <xf numFmtId="10" fontId="0" fillId="0" borderId="0" xfId="3" applyNumberFormat="1" applyFont="1"/>
    <xf numFmtId="167" fontId="0" fillId="0" borderId="0" xfId="3" applyNumberFormat="1" applyFont="1"/>
    <xf numFmtId="167" fontId="0" fillId="0" borderId="3" xfId="3" applyNumberFormat="1" applyFont="1" applyBorder="1"/>
    <xf numFmtId="0" fontId="0" fillId="0" borderId="7" xfId="0" applyBorder="1"/>
    <xf numFmtId="9" fontId="0" fillId="0" borderId="0" xfId="0" applyNumberFormat="1"/>
    <xf numFmtId="10" fontId="0" fillId="0" borderId="0" xfId="0" applyNumberFormat="1"/>
    <xf numFmtId="0" fontId="2" fillId="2" borderId="1" xfId="1" applyAlignment="1">
      <alignment horizontal="center"/>
    </xf>
    <xf numFmtId="0" fontId="5" fillId="4" borderId="1" xfId="4"/>
    <xf numFmtId="14" fontId="2" fillId="2" borderId="1" xfId="1" applyNumberFormat="1"/>
    <xf numFmtId="9" fontId="2" fillId="2" borderId="1" xfId="1" applyNumberFormat="1"/>
    <xf numFmtId="168" fontId="2" fillId="2" borderId="1" xfId="1" applyNumberFormat="1"/>
    <xf numFmtId="0" fontId="6" fillId="0" borderId="6" xfId="5"/>
    <xf numFmtId="0" fontId="7" fillId="0" borderId="0" xfId="6"/>
    <xf numFmtId="0" fontId="6" fillId="0" borderId="6" xfId="5" applyAlignment="1">
      <alignment horizontal="center"/>
    </xf>
    <xf numFmtId="0" fontId="0" fillId="0" borderId="0" xfId="0" applyFont="1"/>
    <xf numFmtId="173" fontId="6" fillId="0" borderId="6" xfId="5" applyNumberFormat="1"/>
  </cellXfs>
  <cellStyles count="7">
    <cellStyle name="Calculation" xfId="4" builtinId="22"/>
    <cellStyle name="Hyperlink" xfId="6" builtinId="8"/>
    <cellStyle name="Input" xfId="1" builtinId="20"/>
    <cellStyle name="Linked Cell" xfId="5" builtinId="24"/>
    <cellStyle name="Normal" xfId="0" builtinId="0"/>
    <cellStyle name="Note" xfId="2" builtinId="1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ichStyles" Target="richData/rich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Array" Target="richData/rdarray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externalLink" Target="externalLinks/externalLink1.xml"/><Relationship Id="rId15" Type="http://schemas.microsoft.com/office/2017/06/relationships/rdSupportingPropertyBag" Target="richData/rdsupportingpropertybag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17/06/relationships/rdSupportingPropertyBagStructure" Target="richData/rdsupportingpropertybagstructur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Hidden2!$J$16</c:f>
          <c:strCache>
            <c:ptCount val="1"/>
            <c:pt idx="0">
              <c:v>Projection of  AMZN Under Risk-neutral Geometric brownian motion framework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Lower Bound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Hidden2!$C$17:$C$23</c:f>
              <c:numCache>
                <c:formatCode>0.00%</c:formatCode>
                <c:ptCount val="7"/>
                <c:pt idx="0">
                  <c:v>0.92500000000000004</c:v>
                </c:pt>
                <c:pt idx="1">
                  <c:v>0.95</c:v>
                </c:pt>
                <c:pt idx="2">
                  <c:v>0.96</c:v>
                </c:pt>
                <c:pt idx="3">
                  <c:v>0.97499999999999998</c:v>
                </c:pt>
                <c:pt idx="4">
                  <c:v>0.98499999999999999</c:v>
                </c:pt>
                <c:pt idx="5">
                  <c:v>0.995</c:v>
                </c:pt>
                <c:pt idx="6">
                  <c:v>0.99750000000000005</c:v>
                </c:pt>
              </c:numCache>
            </c:numRef>
          </c:cat>
          <c:val>
            <c:numRef>
              <c:f>Hidden2!$F$17:$F$23</c:f>
              <c:numCache>
                <c:formatCode>General</c:formatCode>
                <c:ptCount val="7"/>
                <c:pt idx="0">
                  <c:v>199.03931986852996</c:v>
                </c:pt>
                <c:pt idx="1">
                  <c:v>195.21116444568406</c:v>
                </c:pt>
                <c:pt idx="2">
                  <c:v>193.26680410578072</c:v>
                </c:pt>
                <c:pt idx="3">
                  <c:v>189.47876419186076</c:v>
                </c:pt>
                <c:pt idx="4">
                  <c:v>185.75006228501951</c:v>
                </c:pt>
                <c:pt idx="5">
                  <c:v>178.75657202418898</c:v>
                </c:pt>
                <c:pt idx="6">
                  <c:v>174.88984660729506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D6-4296-B368-EC649D077A5D}"/>
            </c:ext>
          </c:extLst>
        </c:ser>
        <c:ser>
          <c:idx val="1"/>
          <c:order val="1"/>
          <c:tx>
            <c:v>Upper Bound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Hidden2!$G$17:$G$23</c:f>
              <c:numCache>
                <c:formatCode>General</c:formatCode>
                <c:ptCount val="7"/>
                <c:pt idx="0">
                  <c:v>261.33951121108231</c:v>
                </c:pt>
                <c:pt idx="1">
                  <c:v>266.46446535951662</c:v>
                </c:pt>
                <c:pt idx="2">
                  <c:v>269.14523064063042</c:v>
                </c:pt>
                <c:pt idx="3">
                  <c:v>274.52595433627135</c:v>
                </c:pt>
                <c:pt idx="4">
                  <c:v>280.03672206802258</c:v>
                </c:pt>
                <c:pt idx="5">
                  <c:v>290.99259387894881</c:v>
                </c:pt>
                <c:pt idx="6">
                  <c:v>297.42629189348349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D6-4296-B368-EC649D077A5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717488"/>
        <c:axId val="123711728"/>
      </c:lineChart>
      <c:catAx>
        <c:axId val="123717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Confidence</a:t>
                </a:r>
                <a:r>
                  <a:rPr lang="en-AU" baseline="0"/>
                  <a:t> level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11728"/>
        <c:crosses val="autoZero"/>
        <c:auto val="1"/>
        <c:lblAlgn val="ctr"/>
        <c:lblOffset val="100"/>
        <c:noMultiLvlLbl val="0"/>
      </c:catAx>
      <c:valAx>
        <c:axId val="12371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17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38100</xdr:rowOff>
        </xdr:from>
        <xdr:to>
          <xdr:col>13</xdr:col>
          <xdr:colOff>6350</xdr:colOff>
          <xdr:row>8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Step 1: Create Input sheet for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12700</xdr:rowOff>
        </xdr:from>
        <xdr:to>
          <xdr:col>13</xdr:col>
          <xdr:colOff>6350</xdr:colOff>
          <xdr:row>16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Step 3: Import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19050</xdr:rowOff>
        </xdr:from>
        <xdr:to>
          <xdr:col>13</xdr:col>
          <xdr:colOff>6350</xdr:colOff>
          <xdr:row>12</xdr:row>
          <xdr:rowOff>120650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Step 2: Run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596900</xdr:colOff>
          <xdr:row>19</xdr:row>
          <xdr:rowOff>63500</xdr:rowOff>
        </xdr:from>
        <xdr:to>
          <xdr:col>12</xdr:col>
          <xdr:colOff>603250</xdr:colOff>
          <xdr:row>22</xdr:row>
          <xdr:rowOff>165100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145CC75E-ED2F-B7C1-B7F1-6915EA6962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FF0000"/>
                  </a:solidFill>
                  <a:latin typeface="Aptos Narrow"/>
                </a:rPr>
                <a:t>Clear Environment (Hit before re-run)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31750</xdr:colOff>
      <xdr:row>4</xdr:row>
      <xdr:rowOff>152400</xdr:rowOff>
    </xdr:from>
    <xdr:to>
      <xdr:col>16</xdr:col>
      <xdr:colOff>507999</xdr:colOff>
      <xdr:row>21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67D267-A0C6-4752-8F48-C1BD159EB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eter\Desktop\Option_Price_Calculator_Peter_Lee.xlsm" TargetMode="External"/><Relationship Id="rId1" Type="http://schemas.openxmlformats.org/officeDocument/2006/relationships/externalLinkPath" Target="/Users/peter/Desktop/Option_Price_Calculator_Peter_Le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sion_Control"/>
      <sheetName val="Hidden2"/>
      <sheetName val="Dashboard"/>
    </sheetNames>
    <sheetDataSet>
      <sheetData sheetId="0"/>
      <sheetData sheetId="1">
        <row r="16">
          <cell r="J16" t="str">
            <v>Projection of  TSLA Under Risk-neutral Geometric brownian motion framework</v>
          </cell>
        </row>
        <row r="17">
          <cell r="C17">
            <v>0.92500000000000004</v>
          </cell>
          <cell r="F17">
            <v>321.33243942918853</v>
          </cell>
          <cell r="G17">
            <v>395.04955483700223</v>
          </cell>
        </row>
        <row r="18">
          <cell r="C18">
            <v>0.95</v>
          </cell>
          <cell r="F18">
            <v>316.63416491092261</v>
          </cell>
          <cell r="G18">
            <v>400.91137097255768</v>
          </cell>
        </row>
        <row r="19">
          <cell r="C19">
            <v>0.96</v>
          </cell>
          <cell r="F19">
            <v>314.23935240837176</v>
          </cell>
          <cell r="G19">
            <v>403.96670938342669</v>
          </cell>
        </row>
        <row r="20">
          <cell r="C20">
            <v>0.97499999999999998</v>
          </cell>
          <cell r="F20">
            <v>309.55693095093653</v>
          </cell>
          <cell r="G20">
            <v>410.07719246095218</v>
          </cell>
        </row>
        <row r="21">
          <cell r="C21">
            <v>0.98499999999999999</v>
          </cell>
          <cell r="F21">
            <v>304.9257208076354</v>
          </cell>
          <cell r="G21">
            <v>416.30544256799948</v>
          </cell>
        </row>
        <row r="22">
          <cell r="C22">
            <v>0.995</v>
          </cell>
          <cell r="F22">
            <v>296.17833754583603</v>
          </cell>
          <cell r="G22">
            <v>428.60068093786077</v>
          </cell>
        </row>
        <row r="23">
          <cell r="C23">
            <v>0.99750000000000005</v>
          </cell>
          <cell r="F23">
            <v>291.30647102761696</v>
          </cell>
          <cell r="G23">
            <v>435.76868273260669</v>
          </cell>
        </row>
      </sheetData>
      <sheetData sheetId="2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2">
    <v t="i">0</v>
    <v t="i">1</v>
  </a>
  <a r="1" c="2">
    <v>230.37</v>
    <v>228.68</v>
  </a>
</arrayData>
</file>

<file path=xl/richData/rdrichvalue.xml><?xml version="1.0" encoding="utf-8"?>
<rvData xmlns="http://schemas.microsoft.com/office/spreadsheetml/2017/richdata" count="5">
  <rv s="0">
    <fb>45701</fb>
    <v>0</v>
  </rv>
  <rv s="0">
    <fb>230.37</fb>
    <v>1</v>
  </rv>
  <rv s="0">
    <fb>45702</fb>
    <v>0</v>
  </rv>
  <rv s="0">
    <fb>228.68</fb>
    <v>1</v>
  </rv>
  <rv s="1">
    <v>2</v>
    <v>AMZN</v>
    <v>Daily</v>
    <v>45701</v>
    <v>45706</v>
    <v>0</v>
    <v>1</v>
    <v>638750880000000000,638754609473404917,0</v>
    <v>0</v>
    <v>a1nhlh</v>
    <v>XNAS:AMZN</v>
    <v>1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3">
    <spb s="0">
      <v>1</v>
    </spb>
    <spb s="0">
      <v>2</v>
    </spb>
    <spb s="1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dd/mm/yy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034AA-3858-42FA-8B79-46300E7F27D2}">
  <sheetPr codeName="Sheet1"/>
  <dimension ref="B2:P103"/>
  <sheetViews>
    <sheetView workbookViewId="0">
      <selection activeCell="Q9" sqref="Q9"/>
    </sheetView>
  </sheetViews>
  <sheetFormatPr defaultRowHeight="14.5" x14ac:dyDescent="0.35"/>
  <cols>
    <col min="5" max="5" width="13.6328125" customWidth="1"/>
  </cols>
  <sheetData>
    <row r="2" spans="2:16" ht="15" thickBot="1" x14ac:dyDescent="0.4">
      <c r="B2" s="1" t="s">
        <v>3</v>
      </c>
      <c r="E2" s="1" t="s">
        <v>19</v>
      </c>
      <c r="F2" s="1" t="s">
        <v>22</v>
      </c>
      <c r="G2" s="1" t="s">
        <v>20</v>
      </c>
      <c r="H2" s="1" t="s">
        <v>21</v>
      </c>
      <c r="I2" s="1"/>
      <c r="J2" s="2" t="s">
        <v>23</v>
      </c>
      <c r="K2" s="3"/>
      <c r="O2" s="2" t="s">
        <v>23</v>
      </c>
      <c r="P2" s="3"/>
    </row>
    <row r="3" spans="2:16" x14ac:dyDescent="0.35">
      <c r="B3" t="s">
        <v>7</v>
      </c>
      <c r="E3" t="str">
        <f>Controls!C6&amp;_xlfn.XLOOKUP(Controls!D6,Hidden!$B$3:$B$5,Hidden!$C$3:$C$5)</f>
        <v>IONQ</v>
      </c>
      <c r="F3">
        <f>Controls!E6</f>
        <v>1000</v>
      </c>
      <c r="G3">
        <f>Controls!H5</f>
        <v>8</v>
      </c>
      <c r="H3" t="str">
        <f>Controls!H7</f>
        <v>Yes</v>
      </c>
      <c r="J3" t="s">
        <v>24</v>
      </c>
      <c r="K3">
        <v>0.19857373335350001</v>
      </c>
      <c r="M3" t="s">
        <v>1</v>
      </c>
      <c r="O3" t="s">
        <v>41</v>
      </c>
      <c r="P3">
        <v>1.65249740189455</v>
      </c>
    </row>
    <row r="4" spans="2:16" x14ac:dyDescent="0.35">
      <c r="B4" t="s">
        <v>8</v>
      </c>
      <c r="C4" t="s">
        <v>11</v>
      </c>
      <c r="E4" t="str">
        <f>Controls!C7&amp;_xlfn.XLOOKUP(Controls!D7,Hidden!$B$3:$B$5,Hidden!$C$3:$C$5)</f>
        <v>RGTI</v>
      </c>
      <c r="F4">
        <f>Controls!E7</f>
        <v>2000</v>
      </c>
      <c r="J4" t="s">
        <v>36</v>
      </c>
      <c r="K4">
        <v>0.63475275659410202</v>
      </c>
      <c r="M4" t="str">
        <f>IF(J4=0,"",J4)</f>
        <v>IONQ.Adjusted</v>
      </c>
      <c r="O4" t="s">
        <v>42</v>
      </c>
      <c r="P4">
        <v>1.73342389221509</v>
      </c>
    </row>
    <row r="5" spans="2:16" x14ac:dyDescent="0.35">
      <c r="B5" t="s">
        <v>9</v>
      </c>
      <c r="C5" t="s">
        <v>10</v>
      </c>
      <c r="E5" t="str">
        <f>Controls!C8&amp;_xlfn.XLOOKUP(Controls!D8,Hidden!$B$3:$B$5,Hidden!$C$3:$C$5)</f>
        <v>TSLA</v>
      </c>
      <c r="F5">
        <f>Controls!E8</f>
        <v>3000</v>
      </c>
      <c r="J5" t="s">
        <v>37</v>
      </c>
      <c r="K5">
        <v>0.77756968053727704</v>
      </c>
      <c r="M5" t="str">
        <f t="shared" ref="M5:M68" si="0">IF(J5=0,"",J5)</f>
        <v>RGTI.Adjusted</v>
      </c>
      <c r="O5" t="s">
        <v>43</v>
      </c>
      <c r="P5">
        <v>1.67335123817775</v>
      </c>
    </row>
    <row r="6" spans="2:16" x14ac:dyDescent="0.35">
      <c r="E6" t="str">
        <f>Controls!C9&amp;_xlfn.XLOOKUP(Controls!D9,Hidden!$B$3:$B$5,Hidden!$C$3:$C$5)</f>
        <v>NAB.AX</v>
      </c>
      <c r="F6">
        <f>Controls!E9</f>
        <v>5000</v>
      </c>
      <c r="J6" t="s">
        <v>25</v>
      </c>
      <c r="K6">
        <v>0.48920932547006302</v>
      </c>
      <c r="M6" t="str">
        <f t="shared" si="0"/>
        <v>TSLA.Adjusted</v>
      </c>
    </row>
    <row r="7" spans="2:16" x14ac:dyDescent="0.35">
      <c r="E7" t="str">
        <f>Controls!C10&amp;_xlfn.XLOOKUP(Controls!D10,Hidden!$B$3:$B$5,Hidden!$C$3:$C$5)</f>
        <v>CBA.AX</v>
      </c>
      <c r="F7">
        <f>Controls!E10</f>
        <v>500</v>
      </c>
      <c r="J7" t="s">
        <v>31</v>
      </c>
      <c r="K7">
        <v>0.15941243500709801</v>
      </c>
      <c r="M7" t="str">
        <f t="shared" si="0"/>
        <v>NAB.AX.Adjusted</v>
      </c>
    </row>
    <row r="8" spans="2:16" x14ac:dyDescent="0.35">
      <c r="B8" s="1" t="s">
        <v>16</v>
      </c>
      <c r="E8" t="str">
        <f>Controls!C11&amp;_xlfn.XLOOKUP(Controls!D11,Hidden!$B$3:$B$5,Hidden!$C$3:$C$5)</f>
        <v>GS</v>
      </c>
      <c r="F8">
        <f>Controls!E11</f>
        <v>1000</v>
      </c>
      <c r="J8" t="s">
        <v>26</v>
      </c>
      <c r="K8">
        <v>0.159875061895566</v>
      </c>
      <c r="M8" t="str">
        <f t="shared" si="0"/>
        <v>CBA.AX.Adjusted</v>
      </c>
    </row>
    <row r="9" spans="2:16" x14ac:dyDescent="0.35">
      <c r="B9" t="s">
        <v>17</v>
      </c>
      <c r="E9" t="str">
        <f>Controls!C12&amp;_xlfn.XLOOKUP(Controls!D12,Hidden!$B$3:$B$5,Hidden!$C$3:$C$5)</f>
        <v>RR.L</v>
      </c>
      <c r="F9">
        <f>Controls!E12</f>
        <v>3000</v>
      </c>
      <c r="J9" t="s">
        <v>33</v>
      </c>
      <c r="K9">
        <v>0.21627196952563199</v>
      </c>
      <c r="M9" t="str">
        <f t="shared" si="0"/>
        <v>GS.Adjusted</v>
      </c>
    </row>
    <row r="10" spans="2:16" x14ac:dyDescent="0.35">
      <c r="B10" t="s">
        <v>18</v>
      </c>
      <c r="E10" t="str">
        <f>Controls!C13&amp;_xlfn.XLOOKUP(Controls!D13,Hidden!$B$3:$B$5,Hidden!$C$3:$C$5)</f>
        <v>AAPL</v>
      </c>
      <c r="F10">
        <f>Controls!E13</f>
        <v>50</v>
      </c>
      <c r="J10" t="s">
        <v>29</v>
      </c>
      <c r="K10">
        <v>0.32723889705666198</v>
      </c>
      <c r="M10" t="str">
        <f t="shared" si="0"/>
        <v>RR.L.Adjusted</v>
      </c>
    </row>
    <row r="11" spans="2:16" x14ac:dyDescent="0.35">
      <c r="E11" t="str">
        <f>Controls!C14&amp;_xlfn.XLOOKUP(Controls!D14,Hidden!$B$3:$B$5,Hidden!$C$3:$C$5)</f>
        <v>NVDA</v>
      </c>
      <c r="F11">
        <f>Controls!E14</f>
        <v>30000</v>
      </c>
      <c r="J11" t="s">
        <v>78</v>
      </c>
      <c r="K11">
        <v>0.22780641741646401</v>
      </c>
      <c r="M11" t="str">
        <f t="shared" si="0"/>
        <v>AAPL.Adjusted</v>
      </c>
    </row>
    <row r="12" spans="2:16" x14ac:dyDescent="0.35">
      <c r="E12" t="str">
        <f>Controls!C15&amp;_xlfn.XLOOKUP(Controls!D15,Hidden!$B$3:$B$5,Hidden!$C$3:$C$5)</f>
        <v>AMZN</v>
      </c>
      <c r="F12">
        <f>Controls!E15</f>
        <v>1000</v>
      </c>
      <c r="J12" t="s">
        <v>79</v>
      </c>
      <c r="K12">
        <v>0.43645907504306802</v>
      </c>
      <c r="M12" t="str">
        <f t="shared" si="0"/>
        <v>NVDA.Adjusted</v>
      </c>
    </row>
    <row r="13" spans="2:16" x14ac:dyDescent="0.35">
      <c r="E13" t="e">
        <f>Controls!C16&amp;_xlfn.XLOOKUP(Controls!D16,Hidden!$B$3:$B$5,Hidden!$C$3:$C$5)</f>
        <v>#N/A</v>
      </c>
      <c r="F13">
        <f>Controls!E16</f>
        <v>0</v>
      </c>
      <c r="J13" t="s">
        <v>80</v>
      </c>
      <c r="K13">
        <v>0.28572062535332599</v>
      </c>
      <c r="M13" t="str">
        <f t="shared" si="0"/>
        <v>AMZN.Adjusted</v>
      </c>
    </row>
    <row r="14" spans="2:16" x14ac:dyDescent="0.35">
      <c r="E14" t="e">
        <f>Controls!C17&amp;_xlfn.XLOOKUP(Controls!D17,Hidden!$B$3:$B$5,Hidden!$C$3:$C$5)</f>
        <v>#N/A</v>
      </c>
      <c r="F14">
        <f>Controls!E17</f>
        <v>0</v>
      </c>
      <c r="J14">
        <v>0</v>
      </c>
      <c r="K14">
        <v>0</v>
      </c>
      <c r="M14" t="str">
        <f t="shared" si="0"/>
        <v/>
      </c>
    </row>
    <row r="15" spans="2:16" x14ac:dyDescent="0.35">
      <c r="E15" t="e">
        <f>Controls!C18&amp;_xlfn.XLOOKUP(Controls!D18,Hidden!$B$3:$B$5,Hidden!$C$3:$C$5)</f>
        <v>#N/A</v>
      </c>
      <c r="F15">
        <f>Controls!E18</f>
        <v>0</v>
      </c>
      <c r="J15">
        <v>0</v>
      </c>
      <c r="K15">
        <v>0</v>
      </c>
      <c r="M15" t="str">
        <f t="shared" si="0"/>
        <v/>
      </c>
    </row>
    <row r="16" spans="2:16" x14ac:dyDescent="0.35">
      <c r="E16" t="e">
        <f>Controls!C19&amp;_xlfn.XLOOKUP(Controls!D19,Hidden!$B$3:$B$5,Hidden!$C$3:$C$5)</f>
        <v>#N/A</v>
      </c>
      <c r="F16">
        <f>Controls!E19</f>
        <v>0</v>
      </c>
      <c r="J16">
        <v>0</v>
      </c>
      <c r="K16">
        <v>0</v>
      </c>
      <c r="M16" t="str">
        <f t="shared" si="0"/>
        <v/>
      </c>
    </row>
    <row r="17" spans="5:13" x14ac:dyDescent="0.35">
      <c r="E17" t="e">
        <f>Controls!C20&amp;_xlfn.XLOOKUP(Controls!D20,Hidden!$B$3:$B$5,Hidden!$C$3:$C$5)</f>
        <v>#N/A</v>
      </c>
      <c r="F17">
        <f>Controls!E20</f>
        <v>0</v>
      </c>
      <c r="J17">
        <v>0</v>
      </c>
      <c r="K17">
        <v>0</v>
      </c>
      <c r="M17" t="str">
        <f t="shared" si="0"/>
        <v/>
      </c>
    </row>
    <row r="18" spans="5:13" x14ac:dyDescent="0.35">
      <c r="E18" t="e">
        <f>Controls!C21&amp;_xlfn.XLOOKUP(Controls!D21,Hidden!$B$3:$B$5,Hidden!$C$3:$C$5)</f>
        <v>#N/A</v>
      </c>
      <c r="F18">
        <f>Controls!E21</f>
        <v>0</v>
      </c>
      <c r="J18">
        <v>0</v>
      </c>
      <c r="K18">
        <v>0</v>
      </c>
      <c r="M18" t="str">
        <f t="shared" si="0"/>
        <v/>
      </c>
    </row>
    <row r="19" spans="5:13" x14ac:dyDescent="0.35">
      <c r="E19" t="e">
        <f>Controls!C22&amp;_xlfn.XLOOKUP(Controls!D22,Hidden!$B$3:$B$5,Hidden!$C$3:$C$5)</f>
        <v>#N/A</v>
      </c>
      <c r="F19">
        <f>Controls!E22</f>
        <v>0</v>
      </c>
      <c r="J19">
        <v>0</v>
      </c>
      <c r="K19">
        <v>0</v>
      </c>
      <c r="M19" t="str">
        <f t="shared" si="0"/>
        <v/>
      </c>
    </row>
    <row r="20" spans="5:13" x14ac:dyDescent="0.35">
      <c r="E20" t="e">
        <f>Controls!C23&amp;_xlfn.XLOOKUP(Controls!D23,Hidden!$B$3:$B$5,Hidden!$C$3:$C$5)</f>
        <v>#N/A</v>
      </c>
      <c r="F20">
        <f>Controls!E23</f>
        <v>0</v>
      </c>
      <c r="J20">
        <v>0</v>
      </c>
      <c r="K20">
        <v>0</v>
      </c>
      <c r="M20" t="str">
        <f t="shared" si="0"/>
        <v/>
      </c>
    </row>
    <row r="21" spans="5:13" x14ac:dyDescent="0.35">
      <c r="E21" t="e">
        <f>Controls!C24&amp;_xlfn.XLOOKUP(Controls!D24,Hidden!$B$3:$B$5,Hidden!$C$3:$C$5)</f>
        <v>#N/A</v>
      </c>
      <c r="F21">
        <f>Controls!E24</f>
        <v>0</v>
      </c>
      <c r="J21">
        <v>0</v>
      </c>
      <c r="K21">
        <v>0</v>
      </c>
      <c r="M21" t="str">
        <f t="shared" si="0"/>
        <v/>
      </c>
    </row>
    <row r="22" spans="5:13" x14ac:dyDescent="0.35">
      <c r="E22" t="e">
        <f>Controls!C25&amp;_xlfn.XLOOKUP(Controls!D25,Hidden!$B$3:$B$5,Hidden!$C$3:$C$5)</f>
        <v>#N/A</v>
      </c>
      <c r="F22">
        <f>Controls!E25</f>
        <v>0</v>
      </c>
      <c r="J22">
        <v>0</v>
      </c>
      <c r="K22">
        <v>0</v>
      </c>
      <c r="M22" t="str">
        <f t="shared" si="0"/>
        <v/>
      </c>
    </row>
    <row r="23" spans="5:13" x14ac:dyDescent="0.35">
      <c r="E23" t="e">
        <f>Controls!C26&amp;_xlfn.XLOOKUP(Controls!D26,Hidden!$B$3:$B$5,Hidden!$C$3:$C$5)</f>
        <v>#N/A</v>
      </c>
      <c r="F23">
        <f>Controls!E26</f>
        <v>0</v>
      </c>
      <c r="J23">
        <v>0</v>
      </c>
      <c r="K23">
        <v>0</v>
      </c>
      <c r="M23" t="str">
        <f t="shared" si="0"/>
        <v/>
      </c>
    </row>
    <row r="24" spans="5:13" x14ac:dyDescent="0.35">
      <c r="E24" t="e">
        <f>Controls!C27&amp;_xlfn.XLOOKUP(Controls!D27,Hidden!$B$3:$B$5,Hidden!$C$3:$C$5)</f>
        <v>#N/A</v>
      </c>
      <c r="F24">
        <f>Controls!E27</f>
        <v>0</v>
      </c>
      <c r="J24">
        <v>0</v>
      </c>
      <c r="K24">
        <v>0</v>
      </c>
      <c r="M24" t="str">
        <f t="shared" si="0"/>
        <v/>
      </c>
    </row>
    <row r="25" spans="5:13" x14ac:dyDescent="0.35">
      <c r="E25" t="e">
        <f>Controls!C28&amp;_xlfn.XLOOKUP(Controls!D28,Hidden!$B$3:$B$5,Hidden!$C$3:$C$5)</f>
        <v>#N/A</v>
      </c>
      <c r="F25">
        <f>Controls!E28</f>
        <v>0</v>
      </c>
      <c r="J25">
        <v>0</v>
      </c>
      <c r="K25">
        <v>0</v>
      </c>
      <c r="M25" t="str">
        <f t="shared" si="0"/>
        <v/>
      </c>
    </row>
    <row r="26" spans="5:13" x14ac:dyDescent="0.35">
      <c r="E26" t="e">
        <f>Controls!C29&amp;_xlfn.XLOOKUP(Controls!D29,Hidden!$B$3:$B$5,Hidden!$C$3:$C$5)</f>
        <v>#N/A</v>
      </c>
      <c r="F26">
        <f>Controls!E29</f>
        <v>0</v>
      </c>
      <c r="J26">
        <v>0</v>
      </c>
      <c r="K26">
        <v>0</v>
      </c>
      <c r="M26" t="str">
        <f t="shared" si="0"/>
        <v/>
      </c>
    </row>
    <row r="27" spans="5:13" x14ac:dyDescent="0.35">
      <c r="E27" t="e">
        <f>Controls!C30&amp;_xlfn.XLOOKUP(Controls!D30,Hidden!$B$3:$B$5,Hidden!$C$3:$C$5)</f>
        <v>#N/A</v>
      </c>
      <c r="F27">
        <f>Controls!E30</f>
        <v>0</v>
      </c>
      <c r="J27">
        <v>0</v>
      </c>
      <c r="K27">
        <v>0</v>
      </c>
      <c r="M27" t="str">
        <f t="shared" si="0"/>
        <v/>
      </c>
    </row>
    <row r="28" spans="5:13" x14ac:dyDescent="0.35">
      <c r="E28" t="e">
        <f>Controls!C31&amp;_xlfn.XLOOKUP(Controls!D31,Hidden!$B$3:$B$5,Hidden!$C$3:$C$5)</f>
        <v>#N/A</v>
      </c>
      <c r="F28">
        <f>Controls!E31</f>
        <v>0</v>
      </c>
      <c r="J28">
        <v>0</v>
      </c>
      <c r="K28">
        <v>0</v>
      </c>
      <c r="M28" t="str">
        <f t="shared" si="0"/>
        <v/>
      </c>
    </row>
    <row r="29" spans="5:13" x14ac:dyDescent="0.35">
      <c r="E29" t="e">
        <f>Controls!C32&amp;_xlfn.XLOOKUP(Controls!D32,Hidden!$B$3:$B$5,Hidden!$C$3:$C$5)</f>
        <v>#N/A</v>
      </c>
      <c r="F29">
        <f>Controls!E32</f>
        <v>0</v>
      </c>
      <c r="J29">
        <v>0</v>
      </c>
      <c r="K29">
        <v>0</v>
      </c>
      <c r="M29" t="str">
        <f t="shared" si="0"/>
        <v/>
      </c>
    </row>
    <row r="30" spans="5:13" x14ac:dyDescent="0.35">
      <c r="E30" t="e">
        <f>Controls!C33&amp;_xlfn.XLOOKUP(Controls!D33,Hidden!$B$3:$B$5,Hidden!$C$3:$C$5)</f>
        <v>#N/A</v>
      </c>
      <c r="F30">
        <f>Controls!E33</f>
        <v>0</v>
      </c>
      <c r="J30">
        <v>0</v>
      </c>
      <c r="K30">
        <v>0</v>
      </c>
      <c r="M30" t="str">
        <f t="shared" si="0"/>
        <v/>
      </c>
    </row>
    <row r="31" spans="5:13" x14ac:dyDescent="0.35">
      <c r="E31" t="e">
        <f>Controls!C34&amp;_xlfn.XLOOKUP(Controls!D34,Hidden!$B$3:$B$5,Hidden!$C$3:$C$5)</f>
        <v>#N/A</v>
      </c>
      <c r="F31">
        <f>Controls!E34</f>
        <v>0</v>
      </c>
      <c r="J31">
        <v>0</v>
      </c>
      <c r="K31">
        <v>0</v>
      </c>
      <c r="M31" t="str">
        <f t="shared" si="0"/>
        <v/>
      </c>
    </row>
    <row r="32" spans="5:13" x14ac:dyDescent="0.35">
      <c r="E32" t="e">
        <f>Controls!C35&amp;_xlfn.XLOOKUP(Controls!D35,Hidden!$B$3:$B$5,Hidden!$C$3:$C$5)</f>
        <v>#N/A</v>
      </c>
      <c r="F32">
        <f>Controls!E35</f>
        <v>0</v>
      </c>
      <c r="J32">
        <v>0</v>
      </c>
      <c r="K32">
        <v>0</v>
      </c>
      <c r="M32" t="str">
        <f t="shared" si="0"/>
        <v/>
      </c>
    </row>
    <row r="33" spans="5:13" x14ac:dyDescent="0.35">
      <c r="E33" t="e">
        <f>Controls!C36&amp;_xlfn.XLOOKUP(Controls!D36,Hidden!$B$3:$B$5,Hidden!$C$3:$C$5)</f>
        <v>#N/A</v>
      </c>
      <c r="F33">
        <f>Controls!E36</f>
        <v>0</v>
      </c>
      <c r="J33">
        <v>0</v>
      </c>
      <c r="K33">
        <v>0</v>
      </c>
      <c r="M33" t="str">
        <f t="shared" si="0"/>
        <v/>
      </c>
    </row>
    <row r="34" spans="5:13" x14ac:dyDescent="0.35">
      <c r="E34" t="e">
        <f>Controls!C37&amp;_xlfn.XLOOKUP(Controls!D37,Hidden!$B$3:$B$5,Hidden!$C$3:$C$5)</f>
        <v>#N/A</v>
      </c>
      <c r="F34">
        <f>Controls!E37</f>
        <v>0</v>
      </c>
      <c r="J34">
        <v>0</v>
      </c>
      <c r="K34">
        <v>0</v>
      </c>
      <c r="M34" t="str">
        <f t="shared" si="0"/>
        <v/>
      </c>
    </row>
    <row r="35" spans="5:13" x14ac:dyDescent="0.35">
      <c r="E35" t="e">
        <f>Controls!C38&amp;_xlfn.XLOOKUP(Controls!D38,Hidden!$B$3:$B$5,Hidden!$C$3:$C$5)</f>
        <v>#N/A</v>
      </c>
      <c r="F35">
        <f>Controls!E38</f>
        <v>0</v>
      </c>
      <c r="J35">
        <v>0</v>
      </c>
      <c r="K35">
        <v>0</v>
      </c>
      <c r="M35" t="str">
        <f t="shared" si="0"/>
        <v/>
      </c>
    </row>
    <row r="36" spans="5:13" x14ac:dyDescent="0.35">
      <c r="E36" t="e">
        <f>Controls!C39&amp;_xlfn.XLOOKUP(Controls!D39,Hidden!$B$3:$B$5,Hidden!$C$3:$C$5)</f>
        <v>#N/A</v>
      </c>
      <c r="F36">
        <f>Controls!E39</f>
        <v>0</v>
      </c>
      <c r="J36">
        <v>0</v>
      </c>
      <c r="K36">
        <v>0</v>
      </c>
      <c r="M36" t="str">
        <f t="shared" si="0"/>
        <v/>
      </c>
    </row>
    <row r="37" spans="5:13" x14ac:dyDescent="0.35">
      <c r="E37" t="e">
        <f>Controls!C40&amp;_xlfn.XLOOKUP(Controls!D40,Hidden!$B$3:$B$5,Hidden!$C$3:$C$5)</f>
        <v>#N/A</v>
      </c>
      <c r="F37">
        <f>Controls!E40</f>
        <v>0</v>
      </c>
      <c r="J37">
        <v>0</v>
      </c>
      <c r="K37">
        <v>0</v>
      </c>
      <c r="M37" t="str">
        <f t="shared" si="0"/>
        <v/>
      </c>
    </row>
    <row r="38" spans="5:13" x14ac:dyDescent="0.35">
      <c r="E38" t="e">
        <f>Controls!C41&amp;_xlfn.XLOOKUP(Controls!D41,Hidden!$B$3:$B$5,Hidden!$C$3:$C$5)</f>
        <v>#N/A</v>
      </c>
      <c r="F38">
        <f>Controls!E41</f>
        <v>0</v>
      </c>
      <c r="J38">
        <v>0</v>
      </c>
      <c r="K38">
        <v>0</v>
      </c>
      <c r="M38" t="str">
        <f t="shared" si="0"/>
        <v/>
      </c>
    </row>
    <row r="39" spans="5:13" x14ac:dyDescent="0.35">
      <c r="E39" t="e">
        <f>Controls!C42&amp;_xlfn.XLOOKUP(Controls!D42,Hidden!$B$3:$B$5,Hidden!$C$3:$C$5)</f>
        <v>#N/A</v>
      </c>
      <c r="F39">
        <f>Controls!E42</f>
        <v>0</v>
      </c>
      <c r="J39">
        <v>0</v>
      </c>
      <c r="K39">
        <v>0</v>
      </c>
      <c r="M39" t="str">
        <f t="shared" si="0"/>
        <v/>
      </c>
    </row>
    <row r="40" spans="5:13" x14ac:dyDescent="0.35">
      <c r="E40" t="e">
        <f>Controls!C43&amp;_xlfn.XLOOKUP(Controls!D43,Hidden!$B$3:$B$5,Hidden!$C$3:$C$5)</f>
        <v>#N/A</v>
      </c>
      <c r="F40">
        <f>Controls!E43</f>
        <v>0</v>
      </c>
      <c r="J40">
        <v>0</v>
      </c>
      <c r="K40">
        <v>0</v>
      </c>
      <c r="M40" t="str">
        <f t="shared" si="0"/>
        <v/>
      </c>
    </row>
    <row r="41" spans="5:13" x14ac:dyDescent="0.35">
      <c r="E41" t="e">
        <f>Controls!C44&amp;_xlfn.XLOOKUP(Controls!D44,Hidden!$B$3:$B$5,Hidden!$C$3:$C$5)</f>
        <v>#N/A</v>
      </c>
      <c r="F41">
        <f>Controls!E44</f>
        <v>0</v>
      </c>
      <c r="J41">
        <v>0</v>
      </c>
      <c r="K41">
        <v>0</v>
      </c>
      <c r="M41" t="str">
        <f t="shared" si="0"/>
        <v/>
      </c>
    </row>
    <row r="42" spans="5:13" x14ac:dyDescent="0.35">
      <c r="E42" t="e">
        <f>Controls!C45&amp;_xlfn.XLOOKUP(Controls!D45,Hidden!$B$3:$B$5,Hidden!$C$3:$C$5)</f>
        <v>#N/A</v>
      </c>
      <c r="F42">
        <f>Controls!E45</f>
        <v>0</v>
      </c>
      <c r="J42">
        <v>0</v>
      </c>
      <c r="K42">
        <v>0</v>
      </c>
      <c r="M42" t="str">
        <f t="shared" si="0"/>
        <v/>
      </c>
    </row>
    <row r="43" spans="5:13" x14ac:dyDescent="0.35">
      <c r="E43" t="e">
        <f>Controls!C46&amp;_xlfn.XLOOKUP(Controls!D46,Hidden!$B$3:$B$5,Hidden!$C$3:$C$5)</f>
        <v>#N/A</v>
      </c>
      <c r="F43">
        <f>Controls!E46</f>
        <v>0</v>
      </c>
      <c r="J43">
        <v>0</v>
      </c>
      <c r="K43">
        <v>0</v>
      </c>
      <c r="M43" t="str">
        <f t="shared" si="0"/>
        <v/>
      </c>
    </row>
    <row r="44" spans="5:13" x14ac:dyDescent="0.35">
      <c r="E44" t="e">
        <f>Controls!C47&amp;_xlfn.XLOOKUP(Controls!D47,Hidden!$B$3:$B$5,Hidden!$C$3:$C$5)</f>
        <v>#N/A</v>
      </c>
      <c r="F44">
        <f>Controls!E47</f>
        <v>0</v>
      </c>
      <c r="J44">
        <v>0</v>
      </c>
      <c r="K44">
        <v>0</v>
      </c>
      <c r="M44" t="str">
        <f t="shared" si="0"/>
        <v/>
      </c>
    </row>
    <row r="45" spans="5:13" x14ac:dyDescent="0.35">
      <c r="E45" t="e">
        <f>Controls!C48&amp;_xlfn.XLOOKUP(Controls!D48,Hidden!$B$3:$B$5,Hidden!$C$3:$C$5)</f>
        <v>#N/A</v>
      </c>
      <c r="F45">
        <f>Controls!E48</f>
        <v>0</v>
      </c>
      <c r="J45">
        <v>0</v>
      </c>
      <c r="K45">
        <v>0</v>
      </c>
      <c r="M45" t="str">
        <f t="shared" si="0"/>
        <v/>
      </c>
    </row>
    <row r="46" spans="5:13" x14ac:dyDescent="0.35">
      <c r="E46" t="e">
        <f>Controls!C49&amp;_xlfn.XLOOKUP(Controls!D49,Hidden!$B$3:$B$5,Hidden!$C$3:$C$5)</f>
        <v>#N/A</v>
      </c>
      <c r="F46">
        <f>Controls!E49</f>
        <v>0</v>
      </c>
      <c r="J46">
        <v>0</v>
      </c>
      <c r="K46">
        <v>0</v>
      </c>
      <c r="M46" t="str">
        <f t="shared" si="0"/>
        <v/>
      </c>
    </row>
    <row r="47" spans="5:13" x14ac:dyDescent="0.35">
      <c r="E47" t="e">
        <f>Controls!C50&amp;_xlfn.XLOOKUP(Controls!D50,Hidden!$B$3:$B$5,Hidden!$C$3:$C$5)</f>
        <v>#N/A</v>
      </c>
      <c r="F47">
        <f>Controls!E50</f>
        <v>0</v>
      </c>
      <c r="J47">
        <v>0</v>
      </c>
      <c r="K47">
        <v>0</v>
      </c>
      <c r="M47" t="str">
        <f t="shared" si="0"/>
        <v/>
      </c>
    </row>
    <row r="48" spans="5:13" x14ac:dyDescent="0.35">
      <c r="E48" t="e">
        <f>Controls!C51&amp;_xlfn.XLOOKUP(Controls!D51,Hidden!$B$3:$B$5,Hidden!$C$3:$C$5)</f>
        <v>#N/A</v>
      </c>
      <c r="F48">
        <f>Controls!E51</f>
        <v>0</v>
      </c>
      <c r="J48">
        <v>0</v>
      </c>
      <c r="K48">
        <v>0</v>
      </c>
      <c r="M48" t="str">
        <f t="shared" si="0"/>
        <v/>
      </c>
    </row>
    <row r="49" spans="5:13" x14ac:dyDescent="0.35">
      <c r="E49" t="e">
        <f>Controls!C52&amp;_xlfn.XLOOKUP(Controls!D52,Hidden!$B$3:$B$5,Hidden!$C$3:$C$5)</f>
        <v>#N/A</v>
      </c>
      <c r="F49">
        <f>Controls!E52</f>
        <v>0</v>
      </c>
      <c r="J49">
        <v>0</v>
      </c>
      <c r="K49">
        <v>0</v>
      </c>
      <c r="M49" t="str">
        <f t="shared" si="0"/>
        <v/>
      </c>
    </row>
    <row r="50" spans="5:13" x14ac:dyDescent="0.35">
      <c r="E50" t="e">
        <f>Controls!C53&amp;_xlfn.XLOOKUP(Controls!D53,Hidden!$B$3:$B$5,Hidden!$C$3:$C$5)</f>
        <v>#N/A</v>
      </c>
      <c r="F50">
        <f>Controls!E53</f>
        <v>0</v>
      </c>
      <c r="J50">
        <v>0</v>
      </c>
      <c r="K50">
        <v>0</v>
      </c>
      <c r="M50" t="str">
        <f t="shared" si="0"/>
        <v/>
      </c>
    </row>
    <row r="51" spans="5:13" x14ac:dyDescent="0.35">
      <c r="E51" t="e">
        <f>Controls!C54&amp;_xlfn.XLOOKUP(Controls!D54,Hidden!$B$3:$B$5,Hidden!$C$3:$C$5)</f>
        <v>#N/A</v>
      </c>
      <c r="F51">
        <f>Controls!E54</f>
        <v>0</v>
      </c>
      <c r="J51">
        <v>0</v>
      </c>
      <c r="K51">
        <v>0</v>
      </c>
      <c r="M51" t="str">
        <f t="shared" si="0"/>
        <v/>
      </c>
    </row>
    <row r="52" spans="5:13" x14ac:dyDescent="0.35">
      <c r="E52" t="e">
        <f>Controls!C55&amp;_xlfn.XLOOKUP(Controls!D55,Hidden!$B$3:$B$5,Hidden!$C$3:$C$5)</f>
        <v>#N/A</v>
      </c>
      <c r="F52">
        <f>Controls!E55</f>
        <v>0</v>
      </c>
      <c r="J52">
        <v>0</v>
      </c>
      <c r="K52">
        <v>0</v>
      </c>
      <c r="M52" t="str">
        <f t="shared" si="0"/>
        <v/>
      </c>
    </row>
    <row r="53" spans="5:13" x14ac:dyDescent="0.35">
      <c r="E53" t="e">
        <f>Controls!C56&amp;_xlfn.XLOOKUP(Controls!D56,Hidden!$B$3:$B$5,Hidden!$C$3:$C$5)</f>
        <v>#N/A</v>
      </c>
      <c r="F53">
        <f>Controls!E56</f>
        <v>0</v>
      </c>
      <c r="J53">
        <v>0</v>
      </c>
      <c r="K53">
        <v>0</v>
      </c>
      <c r="M53" t="str">
        <f t="shared" si="0"/>
        <v/>
      </c>
    </row>
    <row r="54" spans="5:13" x14ac:dyDescent="0.35">
      <c r="E54" t="e">
        <f>Controls!C57&amp;_xlfn.XLOOKUP(Controls!D57,Hidden!$B$3:$B$5,Hidden!$C$3:$C$5)</f>
        <v>#N/A</v>
      </c>
      <c r="F54">
        <f>Controls!E57</f>
        <v>0</v>
      </c>
      <c r="J54">
        <v>0</v>
      </c>
      <c r="K54">
        <v>0</v>
      </c>
      <c r="M54" t="str">
        <f t="shared" si="0"/>
        <v/>
      </c>
    </row>
    <row r="55" spans="5:13" x14ac:dyDescent="0.35">
      <c r="E55" t="e">
        <f>Controls!C58&amp;_xlfn.XLOOKUP(Controls!D58,Hidden!$B$3:$B$5,Hidden!$C$3:$C$5)</f>
        <v>#N/A</v>
      </c>
      <c r="F55">
        <f>Controls!E58</f>
        <v>0</v>
      </c>
      <c r="J55">
        <v>0</v>
      </c>
      <c r="K55">
        <v>0</v>
      </c>
      <c r="M55" t="str">
        <f t="shared" si="0"/>
        <v/>
      </c>
    </row>
    <row r="56" spans="5:13" x14ac:dyDescent="0.35">
      <c r="E56" t="e">
        <f>Controls!C59&amp;_xlfn.XLOOKUP(Controls!D59,Hidden!$B$3:$B$5,Hidden!$C$3:$C$5)</f>
        <v>#N/A</v>
      </c>
      <c r="F56">
        <f>Controls!E59</f>
        <v>0</v>
      </c>
      <c r="J56">
        <v>0</v>
      </c>
      <c r="K56">
        <v>0</v>
      </c>
      <c r="M56" t="str">
        <f t="shared" si="0"/>
        <v/>
      </c>
    </row>
    <row r="57" spans="5:13" x14ac:dyDescent="0.35">
      <c r="E57" t="e">
        <f>Controls!C60&amp;_xlfn.XLOOKUP(Controls!D60,Hidden!$B$3:$B$5,Hidden!$C$3:$C$5)</f>
        <v>#N/A</v>
      </c>
      <c r="F57">
        <f>Controls!E60</f>
        <v>0</v>
      </c>
      <c r="J57">
        <v>0</v>
      </c>
      <c r="K57">
        <v>0</v>
      </c>
      <c r="M57" t="str">
        <f t="shared" si="0"/>
        <v/>
      </c>
    </row>
    <row r="58" spans="5:13" x14ac:dyDescent="0.35">
      <c r="E58" t="e">
        <f>Controls!C61&amp;_xlfn.XLOOKUP(Controls!D61,Hidden!$B$3:$B$5,Hidden!$C$3:$C$5)</f>
        <v>#N/A</v>
      </c>
      <c r="F58">
        <f>Controls!E61</f>
        <v>0</v>
      </c>
      <c r="J58">
        <v>0</v>
      </c>
      <c r="K58">
        <v>0</v>
      </c>
      <c r="M58" t="str">
        <f t="shared" si="0"/>
        <v/>
      </c>
    </row>
    <row r="59" spans="5:13" x14ac:dyDescent="0.35">
      <c r="E59" t="e">
        <f>Controls!C62&amp;_xlfn.XLOOKUP(Controls!D62,Hidden!$B$3:$B$5,Hidden!$C$3:$C$5)</f>
        <v>#N/A</v>
      </c>
      <c r="F59">
        <f>Controls!E62</f>
        <v>0</v>
      </c>
      <c r="J59">
        <v>0</v>
      </c>
      <c r="K59">
        <v>0</v>
      </c>
      <c r="M59" t="str">
        <f t="shared" si="0"/>
        <v/>
      </c>
    </row>
    <row r="60" spans="5:13" x14ac:dyDescent="0.35">
      <c r="E60" t="e">
        <f>Controls!C63&amp;_xlfn.XLOOKUP(Controls!D63,Hidden!$B$3:$B$5,Hidden!$C$3:$C$5)</f>
        <v>#N/A</v>
      </c>
      <c r="F60">
        <f>Controls!E63</f>
        <v>0</v>
      </c>
      <c r="J60">
        <v>0</v>
      </c>
      <c r="K60">
        <v>0</v>
      </c>
      <c r="M60" t="str">
        <f t="shared" si="0"/>
        <v/>
      </c>
    </row>
    <row r="61" spans="5:13" x14ac:dyDescent="0.35">
      <c r="E61" t="e">
        <f>Controls!C64&amp;_xlfn.XLOOKUP(Controls!D64,Hidden!$B$3:$B$5,Hidden!$C$3:$C$5)</f>
        <v>#N/A</v>
      </c>
      <c r="F61">
        <f>Controls!E64</f>
        <v>0</v>
      </c>
      <c r="J61">
        <v>0</v>
      </c>
      <c r="K61">
        <v>0</v>
      </c>
      <c r="M61" t="str">
        <f t="shared" si="0"/>
        <v/>
      </c>
    </row>
    <row r="62" spans="5:13" x14ac:dyDescent="0.35">
      <c r="E62" t="e">
        <f>Controls!C65&amp;_xlfn.XLOOKUP(Controls!D65,Hidden!$B$3:$B$5,Hidden!$C$3:$C$5)</f>
        <v>#N/A</v>
      </c>
      <c r="F62">
        <f>Controls!E65</f>
        <v>0</v>
      </c>
      <c r="J62">
        <v>0</v>
      </c>
      <c r="K62">
        <v>0</v>
      </c>
      <c r="M62" t="str">
        <f t="shared" si="0"/>
        <v/>
      </c>
    </row>
    <row r="63" spans="5:13" x14ac:dyDescent="0.35">
      <c r="E63" t="e">
        <f>Controls!C66&amp;_xlfn.XLOOKUP(Controls!D66,Hidden!$B$3:$B$5,Hidden!$C$3:$C$5)</f>
        <v>#N/A</v>
      </c>
      <c r="F63">
        <f>Controls!E66</f>
        <v>0</v>
      </c>
      <c r="J63">
        <v>0</v>
      </c>
      <c r="K63">
        <v>0</v>
      </c>
      <c r="M63" t="str">
        <f t="shared" si="0"/>
        <v/>
      </c>
    </row>
    <row r="64" spans="5:13" x14ac:dyDescent="0.35">
      <c r="E64" t="e">
        <f>Controls!C67&amp;_xlfn.XLOOKUP(Controls!D67,Hidden!$B$3:$B$5,Hidden!$C$3:$C$5)</f>
        <v>#N/A</v>
      </c>
      <c r="F64">
        <f>Controls!E67</f>
        <v>0</v>
      </c>
      <c r="J64">
        <v>0</v>
      </c>
      <c r="K64">
        <v>0</v>
      </c>
      <c r="M64" t="str">
        <f t="shared" si="0"/>
        <v/>
      </c>
    </row>
    <row r="65" spans="5:13" x14ac:dyDescent="0.35">
      <c r="E65" t="e">
        <f>Controls!C68&amp;_xlfn.XLOOKUP(Controls!D68,Hidden!$B$3:$B$5,Hidden!$C$3:$C$5)</f>
        <v>#N/A</v>
      </c>
      <c r="F65">
        <f>Controls!E68</f>
        <v>0</v>
      </c>
      <c r="J65">
        <v>0</v>
      </c>
      <c r="K65">
        <v>0</v>
      </c>
      <c r="M65" t="str">
        <f t="shared" si="0"/>
        <v/>
      </c>
    </row>
    <row r="66" spans="5:13" x14ac:dyDescent="0.35">
      <c r="E66" t="e">
        <f>Controls!C69&amp;_xlfn.XLOOKUP(Controls!D69,Hidden!$B$3:$B$5,Hidden!$C$3:$C$5)</f>
        <v>#N/A</v>
      </c>
      <c r="F66">
        <f>Controls!E69</f>
        <v>0</v>
      </c>
      <c r="J66">
        <v>0</v>
      </c>
      <c r="K66">
        <v>0</v>
      </c>
      <c r="M66" t="str">
        <f t="shared" si="0"/>
        <v/>
      </c>
    </row>
    <row r="67" spans="5:13" x14ac:dyDescent="0.35">
      <c r="E67" t="e">
        <f>Controls!C70&amp;_xlfn.XLOOKUP(Controls!D70,Hidden!$B$3:$B$5,Hidden!$C$3:$C$5)</f>
        <v>#N/A</v>
      </c>
      <c r="F67">
        <f>Controls!E70</f>
        <v>0</v>
      </c>
      <c r="J67">
        <v>0</v>
      </c>
      <c r="K67">
        <v>0</v>
      </c>
      <c r="M67" t="str">
        <f t="shared" si="0"/>
        <v/>
      </c>
    </row>
    <row r="68" spans="5:13" x14ac:dyDescent="0.35">
      <c r="E68" t="e">
        <f>Controls!C71&amp;_xlfn.XLOOKUP(Controls!D71,Hidden!$B$3:$B$5,Hidden!$C$3:$C$5)</f>
        <v>#N/A</v>
      </c>
      <c r="F68">
        <f>Controls!E71</f>
        <v>0</v>
      </c>
      <c r="J68">
        <v>0</v>
      </c>
      <c r="K68">
        <v>0</v>
      </c>
      <c r="M68" t="str">
        <f t="shared" si="0"/>
        <v/>
      </c>
    </row>
    <row r="69" spans="5:13" x14ac:dyDescent="0.35">
      <c r="E69" t="e">
        <f>Controls!C72&amp;_xlfn.XLOOKUP(Controls!D72,Hidden!$B$3:$B$5,Hidden!$C$3:$C$5)</f>
        <v>#N/A</v>
      </c>
      <c r="F69">
        <f>Controls!E72</f>
        <v>0</v>
      </c>
      <c r="J69">
        <v>0</v>
      </c>
      <c r="K69">
        <v>0</v>
      </c>
      <c r="M69" t="str">
        <f t="shared" ref="M69:M103" si="1">IF(J69=0,"",J69)</f>
        <v/>
      </c>
    </row>
    <row r="70" spans="5:13" x14ac:dyDescent="0.35">
      <c r="E70" t="e">
        <f>Controls!C73&amp;_xlfn.XLOOKUP(Controls!D73,Hidden!$B$3:$B$5,Hidden!$C$3:$C$5)</f>
        <v>#N/A</v>
      </c>
      <c r="F70">
        <f>Controls!E73</f>
        <v>0</v>
      </c>
      <c r="J70">
        <v>0</v>
      </c>
      <c r="K70">
        <v>0</v>
      </c>
      <c r="M70" t="str">
        <f t="shared" si="1"/>
        <v/>
      </c>
    </row>
    <row r="71" spans="5:13" x14ac:dyDescent="0.35">
      <c r="E71" t="e">
        <f>Controls!C74&amp;_xlfn.XLOOKUP(Controls!D74,Hidden!$B$3:$B$5,Hidden!$C$3:$C$5)</f>
        <v>#N/A</v>
      </c>
      <c r="F71">
        <f>Controls!E74</f>
        <v>0</v>
      </c>
      <c r="J71">
        <v>0</v>
      </c>
      <c r="K71">
        <v>0</v>
      </c>
      <c r="M71" t="str">
        <f t="shared" si="1"/>
        <v/>
      </c>
    </row>
    <row r="72" spans="5:13" x14ac:dyDescent="0.35">
      <c r="E72" t="e">
        <f>Controls!C75&amp;_xlfn.XLOOKUP(Controls!D75,Hidden!$B$3:$B$5,Hidden!$C$3:$C$5)</f>
        <v>#N/A</v>
      </c>
      <c r="F72">
        <f>Controls!E75</f>
        <v>0</v>
      </c>
      <c r="J72">
        <v>0</v>
      </c>
      <c r="K72">
        <v>0</v>
      </c>
      <c r="M72" t="str">
        <f t="shared" si="1"/>
        <v/>
      </c>
    </row>
    <row r="73" spans="5:13" x14ac:dyDescent="0.35">
      <c r="E73" t="e">
        <f>Controls!C76&amp;_xlfn.XLOOKUP(Controls!D76,Hidden!$B$3:$B$5,Hidden!$C$3:$C$5)</f>
        <v>#N/A</v>
      </c>
      <c r="F73">
        <f>Controls!E76</f>
        <v>0</v>
      </c>
      <c r="J73">
        <v>0</v>
      </c>
      <c r="K73">
        <v>0</v>
      </c>
      <c r="M73" t="str">
        <f t="shared" si="1"/>
        <v/>
      </c>
    </row>
    <row r="74" spans="5:13" x14ac:dyDescent="0.35">
      <c r="E74" t="e">
        <f>Controls!C77&amp;_xlfn.XLOOKUP(Controls!D77,Hidden!$B$3:$B$5,Hidden!$C$3:$C$5)</f>
        <v>#N/A</v>
      </c>
      <c r="F74">
        <f>Controls!E77</f>
        <v>0</v>
      </c>
      <c r="J74">
        <v>0</v>
      </c>
      <c r="K74">
        <v>0</v>
      </c>
      <c r="M74" t="str">
        <f t="shared" si="1"/>
        <v/>
      </c>
    </row>
    <row r="75" spans="5:13" x14ac:dyDescent="0.35">
      <c r="E75" t="e">
        <f>Controls!C78&amp;_xlfn.XLOOKUP(Controls!D78,Hidden!$B$3:$B$5,Hidden!$C$3:$C$5)</f>
        <v>#N/A</v>
      </c>
      <c r="F75">
        <f>Controls!E78</f>
        <v>0</v>
      </c>
      <c r="J75">
        <v>0</v>
      </c>
      <c r="K75">
        <v>0</v>
      </c>
      <c r="M75" t="str">
        <f t="shared" si="1"/>
        <v/>
      </c>
    </row>
    <row r="76" spans="5:13" x14ac:dyDescent="0.35">
      <c r="E76" t="e">
        <f>Controls!C79&amp;_xlfn.XLOOKUP(Controls!D79,Hidden!$B$3:$B$5,Hidden!$C$3:$C$5)</f>
        <v>#N/A</v>
      </c>
      <c r="F76">
        <f>Controls!E79</f>
        <v>0</v>
      </c>
      <c r="J76">
        <v>0</v>
      </c>
      <c r="K76">
        <v>0</v>
      </c>
      <c r="M76" t="str">
        <f t="shared" si="1"/>
        <v/>
      </c>
    </row>
    <row r="77" spans="5:13" x14ac:dyDescent="0.35">
      <c r="E77" t="e">
        <f>Controls!C80&amp;_xlfn.XLOOKUP(Controls!D80,Hidden!$B$3:$B$5,Hidden!$C$3:$C$5)</f>
        <v>#N/A</v>
      </c>
      <c r="F77">
        <f>Controls!E80</f>
        <v>0</v>
      </c>
      <c r="J77">
        <v>0</v>
      </c>
      <c r="K77">
        <v>0</v>
      </c>
      <c r="M77" t="str">
        <f t="shared" si="1"/>
        <v/>
      </c>
    </row>
    <row r="78" spans="5:13" x14ac:dyDescent="0.35">
      <c r="E78" t="e">
        <f>Controls!C81&amp;_xlfn.XLOOKUP(Controls!D81,Hidden!$B$3:$B$5,Hidden!$C$3:$C$5)</f>
        <v>#N/A</v>
      </c>
      <c r="F78">
        <f>Controls!E81</f>
        <v>0</v>
      </c>
      <c r="J78">
        <v>0</v>
      </c>
      <c r="K78">
        <v>0</v>
      </c>
      <c r="M78" t="str">
        <f t="shared" si="1"/>
        <v/>
      </c>
    </row>
    <row r="79" spans="5:13" x14ac:dyDescent="0.35">
      <c r="E79" t="e">
        <f>Controls!C82&amp;_xlfn.XLOOKUP(Controls!D82,Hidden!$B$3:$B$5,Hidden!$C$3:$C$5)</f>
        <v>#N/A</v>
      </c>
      <c r="F79">
        <f>Controls!E82</f>
        <v>0</v>
      </c>
      <c r="J79">
        <v>0</v>
      </c>
      <c r="K79">
        <v>0</v>
      </c>
      <c r="M79" t="str">
        <f t="shared" si="1"/>
        <v/>
      </c>
    </row>
    <row r="80" spans="5:13" x14ac:dyDescent="0.35">
      <c r="E80" t="e">
        <f>Controls!C83&amp;_xlfn.XLOOKUP(Controls!D83,Hidden!$B$3:$B$5,Hidden!$C$3:$C$5)</f>
        <v>#N/A</v>
      </c>
      <c r="F80">
        <f>Controls!E83</f>
        <v>0</v>
      </c>
      <c r="J80">
        <v>0</v>
      </c>
      <c r="K80">
        <v>0</v>
      </c>
      <c r="M80" t="str">
        <f t="shared" si="1"/>
        <v/>
      </c>
    </row>
    <row r="81" spans="5:13" x14ac:dyDescent="0.35">
      <c r="E81" t="e">
        <f>Controls!C84&amp;_xlfn.XLOOKUP(Controls!D84,Hidden!$B$3:$B$5,Hidden!$C$3:$C$5)</f>
        <v>#N/A</v>
      </c>
      <c r="F81">
        <f>Controls!E84</f>
        <v>0</v>
      </c>
      <c r="J81">
        <v>0</v>
      </c>
      <c r="K81">
        <v>0</v>
      </c>
      <c r="M81" t="str">
        <f t="shared" si="1"/>
        <v/>
      </c>
    </row>
    <row r="82" spans="5:13" x14ac:dyDescent="0.35">
      <c r="E82" t="e">
        <f>Controls!C85&amp;_xlfn.XLOOKUP(Controls!D85,Hidden!$B$3:$B$5,Hidden!$C$3:$C$5)</f>
        <v>#N/A</v>
      </c>
      <c r="F82">
        <f>Controls!E85</f>
        <v>0</v>
      </c>
      <c r="J82">
        <v>0</v>
      </c>
      <c r="K82">
        <v>0</v>
      </c>
      <c r="M82" t="str">
        <f t="shared" si="1"/>
        <v/>
      </c>
    </row>
    <row r="83" spans="5:13" x14ac:dyDescent="0.35">
      <c r="E83" t="e">
        <f>Controls!C86&amp;_xlfn.XLOOKUP(Controls!D86,Hidden!$B$3:$B$5,Hidden!$C$3:$C$5)</f>
        <v>#N/A</v>
      </c>
      <c r="F83">
        <f>Controls!E86</f>
        <v>0</v>
      </c>
      <c r="J83">
        <v>0</v>
      </c>
      <c r="K83">
        <v>0</v>
      </c>
      <c r="M83" t="str">
        <f t="shared" si="1"/>
        <v/>
      </c>
    </row>
    <row r="84" spans="5:13" x14ac:dyDescent="0.35">
      <c r="E84" t="e">
        <f>Controls!C87&amp;_xlfn.XLOOKUP(Controls!D87,Hidden!$B$3:$B$5,Hidden!$C$3:$C$5)</f>
        <v>#N/A</v>
      </c>
      <c r="F84">
        <f>Controls!E87</f>
        <v>0</v>
      </c>
      <c r="J84">
        <v>0</v>
      </c>
      <c r="K84">
        <v>0</v>
      </c>
      <c r="M84" t="str">
        <f t="shared" si="1"/>
        <v/>
      </c>
    </row>
    <row r="85" spans="5:13" x14ac:dyDescent="0.35">
      <c r="E85" t="e">
        <f>Controls!C88&amp;_xlfn.XLOOKUP(Controls!D88,Hidden!$B$3:$B$5,Hidden!$C$3:$C$5)</f>
        <v>#N/A</v>
      </c>
      <c r="F85">
        <f>Controls!E88</f>
        <v>0</v>
      </c>
      <c r="J85">
        <v>0</v>
      </c>
      <c r="K85">
        <v>0</v>
      </c>
      <c r="M85" t="str">
        <f t="shared" si="1"/>
        <v/>
      </c>
    </row>
    <row r="86" spans="5:13" x14ac:dyDescent="0.35">
      <c r="E86" t="e">
        <f>Controls!C89&amp;_xlfn.XLOOKUP(Controls!D89,Hidden!$B$3:$B$5,Hidden!$C$3:$C$5)</f>
        <v>#N/A</v>
      </c>
      <c r="F86">
        <f>Controls!E89</f>
        <v>0</v>
      </c>
      <c r="J86">
        <v>0</v>
      </c>
      <c r="K86">
        <v>0</v>
      </c>
      <c r="M86" t="str">
        <f t="shared" si="1"/>
        <v/>
      </c>
    </row>
    <row r="87" spans="5:13" x14ac:dyDescent="0.35">
      <c r="E87" t="e">
        <f>Controls!C90&amp;_xlfn.XLOOKUP(Controls!D90,Hidden!$B$3:$B$5,Hidden!$C$3:$C$5)</f>
        <v>#N/A</v>
      </c>
      <c r="F87">
        <f>Controls!E90</f>
        <v>0</v>
      </c>
      <c r="J87">
        <v>0</v>
      </c>
      <c r="K87">
        <v>0</v>
      </c>
      <c r="M87" t="str">
        <f t="shared" si="1"/>
        <v/>
      </c>
    </row>
    <row r="88" spans="5:13" x14ac:dyDescent="0.35">
      <c r="E88" t="e">
        <f>Controls!C91&amp;_xlfn.XLOOKUP(Controls!D91,Hidden!$B$3:$B$5,Hidden!$C$3:$C$5)</f>
        <v>#N/A</v>
      </c>
      <c r="F88">
        <f>Controls!E91</f>
        <v>0</v>
      </c>
      <c r="J88">
        <v>0</v>
      </c>
      <c r="K88">
        <v>0</v>
      </c>
      <c r="M88" t="str">
        <f t="shared" si="1"/>
        <v/>
      </c>
    </row>
    <row r="89" spans="5:13" x14ac:dyDescent="0.35">
      <c r="E89" t="e">
        <f>Controls!C92&amp;_xlfn.XLOOKUP(Controls!D92,Hidden!$B$3:$B$5,Hidden!$C$3:$C$5)</f>
        <v>#N/A</v>
      </c>
      <c r="F89">
        <f>Controls!E92</f>
        <v>0</v>
      </c>
      <c r="J89">
        <v>0</v>
      </c>
      <c r="K89">
        <v>0</v>
      </c>
      <c r="M89" t="str">
        <f t="shared" si="1"/>
        <v/>
      </c>
    </row>
    <row r="90" spans="5:13" x14ac:dyDescent="0.35">
      <c r="E90" t="e">
        <f>Controls!C93&amp;_xlfn.XLOOKUP(Controls!D93,Hidden!$B$3:$B$5,Hidden!$C$3:$C$5)</f>
        <v>#N/A</v>
      </c>
      <c r="F90">
        <f>Controls!E93</f>
        <v>0</v>
      </c>
      <c r="J90">
        <v>0</v>
      </c>
      <c r="K90">
        <v>0</v>
      </c>
      <c r="M90" t="str">
        <f t="shared" si="1"/>
        <v/>
      </c>
    </row>
    <row r="91" spans="5:13" x14ac:dyDescent="0.35">
      <c r="E91" t="e">
        <f>Controls!C94&amp;_xlfn.XLOOKUP(Controls!D94,Hidden!$B$3:$B$5,Hidden!$C$3:$C$5)</f>
        <v>#N/A</v>
      </c>
      <c r="F91">
        <f>Controls!E94</f>
        <v>0</v>
      </c>
      <c r="J91">
        <v>0</v>
      </c>
      <c r="K91">
        <v>0</v>
      </c>
      <c r="M91" t="str">
        <f t="shared" si="1"/>
        <v/>
      </c>
    </row>
    <row r="92" spans="5:13" x14ac:dyDescent="0.35">
      <c r="E92" t="e">
        <f>Controls!C95&amp;_xlfn.XLOOKUP(Controls!D95,Hidden!$B$3:$B$5,Hidden!$C$3:$C$5)</f>
        <v>#N/A</v>
      </c>
      <c r="F92">
        <f>Controls!E95</f>
        <v>0</v>
      </c>
      <c r="J92">
        <v>0</v>
      </c>
      <c r="K92">
        <v>0</v>
      </c>
      <c r="M92" t="str">
        <f t="shared" si="1"/>
        <v/>
      </c>
    </row>
    <row r="93" spans="5:13" x14ac:dyDescent="0.35">
      <c r="E93" t="e">
        <f>Controls!C96&amp;_xlfn.XLOOKUP(Controls!D96,Hidden!$B$3:$B$5,Hidden!$C$3:$C$5)</f>
        <v>#N/A</v>
      </c>
      <c r="F93">
        <f>Controls!E96</f>
        <v>0</v>
      </c>
      <c r="J93">
        <v>0</v>
      </c>
      <c r="K93">
        <v>0</v>
      </c>
      <c r="M93" t="str">
        <f t="shared" si="1"/>
        <v/>
      </c>
    </row>
    <row r="94" spans="5:13" x14ac:dyDescent="0.35">
      <c r="E94" t="e">
        <f>Controls!C97&amp;_xlfn.XLOOKUP(Controls!D97,Hidden!$B$3:$B$5,Hidden!$C$3:$C$5)</f>
        <v>#N/A</v>
      </c>
      <c r="F94">
        <f>Controls!E97</f>
        <v>0</v>
      </c>
      <c r="J94">
        <v>0</v>
      </c>
      <c r="K94">
        <v>0</v>
      </c>
      <c r="M94" t="str">
        <f t="shared" si="1"/>
        <v/>
      </c>
    </row>
    <row r="95" spans="5:13" x14ac:dyDescent="0.35">
      <c r="E95" t="e">
        <f>Controls!C98&amp;_xlfn.XLOOKUP(Controls!D98,Hidden!$B$3:$B$5,Hidden!$C$3:$C$5)</f>
        <v>#N/A</v>
      </c>
      <c r="F95">
        <f>Controls!E98</f>
        <v>0</v>
      </c>
      <c r="J95">
        <v>0</v>
      </c>
      <c r="K95">
        <v>0</v>
      </c>
      <c r="M95" t="str">
        <f t="shared" si="1"/>
        <v/>
      </c>
    </row>
    <row r="96" spans="5:13" x14ac:dyDescent="0.35">
      <c r="E96" t="e">
        <f>Controls!C99&amp;_xlfn.XLOOKUP(Controls!D99,Hidden!$B$3:$B$5,Hidden!$C$3:$C$5)</f>
        <v>#N/A</v>
      </c>
      <c r="F96">
        <f>Controls!E99</f>
        <v>0</v>
      </c>
      <c r="J96">
        <v>0</v>
      </c>
      <c r="K96">
        <v>0</v>
      </c>
      <c r="M96" t="str">
        <f t="shared" si="1"/>
        <v/>
      </c>
    </row>
    <row r="97" spans="5:13" x14ac:dyDescent="0.35">
      <c r="E97" t="e">
        <f>Controls!C100&amp;_xlfn.XLOOKUP(Controls!D100,Hidden!$B$3:$B$5,Hidden!$C$3:$C$5)</f>
        <v>#N/A</v>
      </c>
      <c r="F97">
        <f>Controls!E100</f>
        <v>0</v>
      </c>
      <c r="J97">
        <v>0</v>
      </c>
      <c r="K97">
        <v>0</v>
      </c>
      <c r="M97" t="str">
        <f t="shared" si="1"/>
        <v/>
      </c>
    </row>
    <row r="98" spans="5:13" x14ac:dyDescent="0.35">
      <c r="E98" t="e">
        <f>Controls!C101&amp;_xlfn.XLOOKUP(Controls!D101,Hidden!$B$3:$B$5,Hidden!$C$3:$C$5)</f>
        <v>#N/A</v>
      </c>
      <c r="F98">
        <f>Controls!E101</f>
        <v>0</v>
      </c>
      <c r="J98">
        <v>0</v>
      </c>
      <c r="K98">
        <v>0</v>
      </c>
      <c r="M98" t="str">
        <f t="shared" si="1"/>
        <v/>
      </c>
    </row>
    <row r="99" spans="5:13" x14ac:dyDescent="0.35">
      <c r="E99" t="e">
        <f>Controls!C102&amp;_xlfn.XLOOKUP(Controls!D102,Hidden!$B$3:$B$5,Hidden!$C$3:$C$5)</f>
        <v>#N/A</v>
      </c>
      <c r="F99">
        <f>Controls!E102</f>
        <v>0</v>
      </c>
      <c r="J99">
        <v>0</v>
      </c>
      <c r="K99">
        <v>0</v>
      </c>
      <c r="M99" t="str">
        <f t="shared" si="1"/>
        <v/>
      </c>
    </row>
    <row r="100" spans="5:13" x14ac:dyDescent="0.35">
      <c r="E100" t="e">
        <f>Controls!C103&amp;_xlfn.XLOOKUP(Controls!D103,Hidden!$B$3:$B$5,Hidden!$C$3:$C$5)</f>
        <v>#N/A</v>
      </c>
      <c r="F100">
        <f>Controls!E103</f>
        <v>0</v>
      </c>
      <c r="J100">
        <v>0</v>
      </c>
      <c r="K100">
        <v>0</v>
      </c>
      <c r="M100" t="str">
        <f t="shared" si="1"/>
        <v/>
      </c>
    </row>
    <row r="101" spans="5:13" x14ac:dyDescent="0.35">
      <c r="E101" t="e">
        <f>Controls!C104&amp;_xlfn.XLOOKUP(Controls!D104,Hidden!$B$3:$B$5,Hidden!$C$3:$C$5)</f>
        <v>#N/A</v>
      </c>
      <c r="F101">
        <f>Controls!E104</f>
        <v>0</v>
      </c>
      <c r="M101" t="str">
        <f t="shared" si="1"/>
        <v/>
      </c>
    </row>
    <row r="102" spans="5:13" x14ac:dyDescent="0.35">
      <c r="E102" t="e">
        <f>Controls!C105&amp;_xlfn.XLOOKUP(Controls!D105,Hidden!$B$3:$B$5,Hidden!$C$3:$C$5)</f>
        <v>#N/A</v>
      </c>
      <c r="F102">
        <f>Controls!E105</f>
        <v>0</v>
      </c>
      <c r="M102" t="str">
        <f t="shared" si="1"/>
        <v/>
      </c>
    </row>
    <row r="103" spans="5:13" x14ac:dyDescent="0.35">
      <c r="E103" t="e">
        <f>Controls!C106&amp;_xlfn.XLOOKUP(Controls!D106,Hidden!$B$3:$B$5,Hidden!$C$3:$C$5)</f>
        <v>#N/A</v>
      </c>
      <c r="F103">
        <f>Controls!E106</f>
        <v>0</v>
      </c>
      <c r="M103" t="str">
        <f t="shared" si="1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1034E-1D33-480A-B2DA-BF55817E8400}">
  <dimension ref="B2:L37"/>
  <sheetViews>
    <sheetView workbookViewId="0">
      <selection activeCell="B36" sqref="B36"/>
    </sheetView>
  </sheetViews>
  <sheetFormatPr defaultRowHeight="14.5" x14ac:dyDescent="0.35"/>
  <cols>
    <col min="2" max="2" width="17.7265625" customWidth="1"/>
    <col min="3" max="3" width="11.81640625" bestFit="1" customWidth="1"/>
    <col min="5" max="5" width="10.81640625" bestFit="1" customWidth="1"/>
    <col min="12" max="12" width="9.7265625" bestFit="1" customWidth="1"/>
  </cols>
  <sheetData>
    <row r="2" spans="2:12" x14ac:dyDescent="0.35">
      <c r="B2" s="1" t="s">
        <v>45</v>
      </c>
      <c r="C2" s="1"/>
      <c r="L2" s="1"/>
    </row>
    <row r="3" spans="2:12" x14ac:dyDescent="0.35">
      <c r="B3" t="s">
        <v>46</v>
      </c>
      <c r="C3">
        <f ca="1">Dashboard!C20*EXP(-Dashboard!C10*_xlfn.DAYS(Dashboard!C8,TODAY())/365)*_xlfn.NORM.S.DIST(Hidden2!E3,TRUE)-Dashboard!C12*EXP(-Dashboard!C16*_xlfn.DAYS(Dashboard!C8,TODAY())/365)*_xlfn.NORM.S.DIST(Hidden2!E4,TRUE)</f>
        <v>1.0890658568603868</v>
      </c>
      <c r="D3" t="s">
        <v>47</v>
      </c>
      <c r="E3">
        <f ca="1">(LOG(Dashboard!C20/Dashboard!C12)+(Dashboard!C16-Dashboard!C10+1/2*Dashboard!C18^2)*((_xlfn.DAYS(Dashboard!C8,TODAY()))/365))/(Dashboard!C18*SQRT((_xlfn.DAYS(Dashboard!C8,TODAY())/365)))</f>
        <v>-0.34283906434857614</v>
      </c>
    </row>
    <row r="4" spans="2:12" x14ac:dyDescent="0.35">
      <c r="B4" t="s">
        <v>48</v>
      </c>
      <c r="C4">
        <f ca="1">C3+Dashboard!C12*EXP(-Dashboard!C16*_xlfn.DAYS(Dashboard!C8,TODAY())/365)-Dashboard!C20*EXP(-Dashboard!C10*_xlfn.DAYS(Dashboard!C8,TODAY())/365)</f>
        <v>21.95673654052041</v>
      </c>
      <c r="D4" t="s">
        <v>49</v>
      </c>
      <c r="E4">
        <f ca="1">E3-Dashboard!C18*SQRT(_xlfn.DAYS(Dashboard!C8, TODAY())/365)</f>
        <v>-0.43742469316360155</v>
      </c>
    </row>
    <row r="7" spans="2:12" x14ac:dyDescent="0.35">
      <c r="B7" s="1" t="s">
        <v>50</v>
      </c>
    </row>
    <row r="8" spans="2:12" x14ac:dyDescent="0.35">
      <c r="B8" s="10" t="str" cm="1">
        <f t="array" aca="1" ref="B8:C10" ca="1">_xlfn.STOCKHISTORY(Dashboard!C6,TODAY()-5,TODAY())</f>
        <v>Date</v>
      </c>
      <c r="C8" s="10" t="str">
        <f ca="1"/>
        <v>Close</v>
      </c>
    </row>
    <row r="9" spans="2:12" x14ac:dyDescent="0.35">
      <c r="B9" s="10" vm="1">
        <f ca="1"/>
        <v>45701</v>
      </c>
      <c r="C9" s="10" vm="2">
        <f ca="1"/>
        <v>230.37</v>
      </c>
    </row>
    <row r="10" spans="2:12" x14ac:dyDescent="0.35">
      <c r="B10" s="10" vm="3">
        <f ca="1"/>
        <v>45702</v>
      </c>
      <c r="C10" s="10" vm="4">
        <f ca="1"/>
        <v>228.68</v>
      </c>
    </row>
    <row r="11" spans="2:12" x14ac:dyDescent="0.35">
      <c r="B11" s="10"/>
      <c r="C11" s="10"/>
    </row>
    <row r="12" spans="2:12" x14ac:dyDescent="0.35">
      <c r="B12" s="10"/>
      <c r="C12" s="10"/>
    </row>
    <row r="13" spans="2:12" x14ac:dyDescent="0.35">
      <c r="B13" s="10"/>
      <c r="C13" s="10"/>
    </row>
    <row r="15" spans="2:12" x14ac:dyDescent="0.35">
      <c r="B15" s="1" t="s">
        <v>51</v>
      </c>
    </row>
    <row r="16" spans="2:12" ht="15" thickBot="1" x14ac:dyDescent="0.4">
      <c r="B16" s="2" t="s">
        <v>52</v>
      </c>
      <c r="C16" s="2"/>
      <c r="D16" s="2"/>
      <c r="F16" s="1" t="s">
        <v>53</v>
      </c>
      <c r="G16" s="1" t="s">
        <v>54</v>
      </c>
      <c r="I16" s="1" t="s">
        <v>55</v>
      </c>
      <c r="J16" t="str">
        <f>I17&amp;" "&amp;Dashboard!C6&amp;" "&amp;Hidden2!I18</f>
        <v>Projection of  AMZN Under Risk-neutral Geometric brownian motion framework</v>
      </c>
    </row>
    <row r="17" spans="2:9" x14ac:dyDescent="0.35">
      <c r="B17" s="11">
        <v>0.15</v>
      </c>
      <c r="C17" s="7">
        <f>1-B17/2</f>
        <v>0.92500000000000004</v>
      </c>
      <c r="D17">
        <f>_xlfn.NORM.S.INV(C17)</f>
        <v>1.4395314709384563</v>
      </c>
      <c r="F17">
        <f ca="1">Dashboard!$C$20*EXP((Dashboard!$C$16-1/2*Dashboard!$C$18^2)*_xlfn.DAYS(Dashboard!$C$8,TODAY())/365-Hidden2!$D17*Dashboard!$C$18*SQRT(_xlfn.DAYS(Dashboard!$C$8,TODAY())/365))</f>
        <v>199.03931986852996</v>
      </c>
      <c r="G17">
        <f ca="1">Dashboard!$C$20*EXP((Dashboard!$C$16-1/2*Dashboard!$C$18^2)*_xlfn.DAYS(Dashboard!$C$8,TODAY())/365+Hidden2!$D17*Dashboard!$C$18*SQRT(_xlfn.DAYS(Dashboard!$C$8,TODAY())/365))</f>
        <v>261.33951121108231</v>
      </c>
      <c r="I17" t="s">
        <v>56</v>
      </c>
    </row>
    <row r="18" spans="2:9" x14ac:dyDescent="0.35">
      <c r="B18" s="11">
        <v>0.1</v>
      </c>
      <c r="C18" s="7">
        <f t="shared" ref="C18:C23" si="0">1-B18/2</f>
        <v>0.95</v>
      </c>
      <c r="D18">
        <f t="shared" ref="D18:D23" si="1">_xlfn.NORM.S.INV(C18)</f>
        <v>1.6448536269514715</v>
      </c>
      <c r="F18">
        <f ca="1">Dashboard!$C$20*EXP((Dashboard!$C$16-1/2*Dashboard!$C$18^2)*_xlfn.DAYS(Dashboard!$C$8,TODAY())/365-Hidden2!$D18*Dashboard!$C$18*SQRT(_xlfn.DAYS(Dashboard!$C$8,TODAY())/365))</f>
        <v>195.21116444568406</v>
      </c>
      <c r="G18">
        <f ca="1">Dashboard!$C$20*EXP((Dashboard!$C$16-1/2*Dashboard!$C$18^2)*_xlfn.DAYS(Dashboard!$C$8,TODAY())/365+Hidden2!$D18*Dashboard!$C$18*SQRT(_xlfn.DAYS(Dashboard!$C$8,TODAY())/365))</f>
        <v>266.46446535951662</v>
      </c>
      <c r="I18" t="s">
        <v>57</v>
      </c>
    </row>
    <row r="19" spans="2:9" x14ac:dyDescent="0.35">
      <c r="B19" s="11">
        <v>0.08</v>
      </c>
      <c r="C19" s="7">
        <f t="shared" si="0"/>
        <v>0.96</v>
      </c>
      <c r="D19">
        <f t="shared" si="1"/>
        <v>1.7506860712521695</v>
      </c>
      <c r="F19">
        <f ca="1">Dashboard!$C$20*EXP((Dashboard!$C$16-1/2*Dashboard!$C$18^2)*_xlfn.DAYS(Dashboard!$C$8,TODAY())/365-Hidden2!$D19*Dashboard!$C$18*SQRT(_xlfn.DAYS(Dashboard!$C$8,TODAY())/365))</f>
        <v>193.26680410578072</v>
      </c>
      <c r="G19">
        <f ca="1">Dashboard!$C$20*EXP((Dashboard!$C$16-1/2*Dashboard!$C$18^2)*_xlfn.DAYS(Dashboard!$C$8,TODAY())/365+Hidden2!$D19*Dashboard!$C$18*SQRT(_xlfn.DAYS(Dashboard!$C$8,TODAY())/365))</f>
        <v>269.14523064063042</v>
      </c>
    </row>
    <row r="20" spans="2:9" x14ac:dyDescent="0.35">
      <c r="B20" s="11">
        <v>0.05</v>
      </c>
      <c r="C20" s="7">
        <f t="shared" si="0"/>
        <v>0.97499999999999998</v>
      </c>
      <c r="D20">
        <f t="shared" si="1"/>
        <v>1.9599639845400536</v>
      </c>
      <c r="F20">
        <f ca="1">Dashboard!$C$20*EXP((Dashboard!$C$16-1/2*Dashboard!$C$18^2)*_xlfn.DAYS(Dashboard!$C$8,TODAY())/365-Hidden2!$D20*Dashboard!$C$18*SQRT(_xlfn.DAYS(Dashboard!$C$8,TODAY())/365))</f>
        <v>189.47876419186076</v>
      </c>
      <c r="G20">
        <f ca="1">Dashboard!$C$20*EXP((Dashboard!$C$16-1/2*Dashboard!$C$18^2)*_xlfn.DAYS(Dashboard!$C$8,TODAY())/365+Hidden2!$D20*Dashboard!$C$18*SQRT(_xlfn.DAYS(Dashboard!$C$8,TODAY())/365))</f>
        <v>274.52595433627135</v>
      </c>
    </row>
    <row r="21" spans="2:9" x14ac:dyDescent="0.35">
      <c r="B21" s="11">
        <v>0.03</v>
      </c>
      <c r="C21" s="7">
        <f t="shared" si="0"/>
        <v>0.98499999999999999</v>
      </c>
      <c r="D21">
        <f t="shared" si="1"/>
        <v>2.1700903775845601</v>
      </c>
      <c r="F21">
        <f ca="1">Dashboard!$C$20*EXP((Dashboard!$C$16-1/2*Dashboard!$C$18^2)*_xlfn.DAYS(Dashboard!$C$8,TODAY())/365-Hidden2!$D21*Dashboard!$C$18*SQRT(_xlfn.DAYS(Dashboard!$C$8,TODAY())/365))</f>
        <v>185.75006228501951</v>
      </c>
      <c r="G21">
        <f ca="1">Dashboard!$C$20*EXP((Dashboard!$C$16-1/2*Dashboard!$C$18^2)*_xlfn.DAYS(Dashboard!$C$8,TODAY())/365+Hidden2!$D21*Dashboard!$C$18*SQRT(_xlfn.DAYS(Dashboard!$C$8,TODAY())/365))</f>
        <v>280.03672206802258</v>
      </c>
    </row>
    <row r="22" spans="2:9" x14ac:dyDescent="0.35">
      <c r="B22" s="11">
        <v>0.01</v>
      </c>
      <c r="C22" s="7">
        <f t="shared" si="0"/>
        <v>0.995</v>
      </c>
      <c r="D22">
        <f t="shared" si="1"/>
        <v>2.5758293035488999</v>
      </c>
      <c r="F22">
        <f ca="1">Dashboard!$C$20*EXP((Dashboard!$C$16-1/2*Dashboard!$C$18^2)*_xlfn.DAYS(Dashboard!$C$8,TODAY())/365-Hidden2!$D22*Dashboard!$C$18*SQRT(_xlfn.DAYS(Dashboard!$C$8,TODAY())/365))</f>
        <v>178.75657202418898</v>
      </c>
      <c r="G22">
        <f ca="1">Dashboard!$C$20*EXP((Dashboard!$C$16-1/2*Dashboard!$C$18^2)*_xlfn.DAYS(Dashboard!$C$8,TODAY())/365+Hidden2!$D22*Dashboard!$C$18*SQRT(_xlfn.DAYS(Dashboard!$C$8,TODAY())/365))</f>
        <v>290.99259387894881</v>
      </c>
    </row>
    <row r="23" spans="2:9" x14ac:dyDescent="0.35">
      <c r="B23" s="12">
        <v>5.0000000000000001E-3</v>
      </c>
      <c r="C23" s="7">
        <f t="shared" si="0"/>
        <v>0.99750000000000005</v>
      </c>
      <c r="D23">
        <f t="shared" si="1"/>
        <v>2.8070337683438114</v>
      </c>
      <c r="F23">
        <f ca="1">Dashboard!$C$20*EXP((Dashboard!$C$16-1/2*Dashboard!$C$18^2)*_xlfn.DAYS(Dashboard!$C$8,TODAY())/365-Hidden2!$D23*Dashboard!$C$18*SQRT(_xlfn.DAYS(Dashboard!$C$8,TODAY())/365))</f>
        <v>174.88984660729506</v>
      </c>
      <c r="G23">
        <f ca="1">Dashboard!$C$20*EXP((Dashboard!$C$16-1/2*Dashboard!$C$18^2)*_xlfn.DAYS(Dashboard!$C$8,TODAY())/365+Hidden2!$D23*Dashboard!$C$18*SQRT(_xlfn.DAYS(Dashboard!$C$8,TODAY())/365))</f>
        <v>297.42629189348349</v>
      </c>
    </row>
    <row r="26" spans="2:9" x14ac:dyDescent="0.35">
      <c r="B26" s="1" t="s">
        <v>58</v>
      </c>
      <c r="F26" s="1" t="s">
        <v>3</v>
      </c>
    </row>
    <row r="27" spans="2:9" x14ac:dyDescent="0.35">
      <c r="B27" t="s">
        <v>59</v>
      </c>
      <c r="F27" t="s">
        <v>9</v>
      </c>
      <c r="G27" t="s">
        <v>10</v>
      </c>
    </row>
    <row r="28" spans="2:9" x14ac:dyDescent="0.35">
      <c r="B28" t="str">
        <f>B27&amp;Dashboard!C6&amp;_xlfn.XLOOKUP(Dashboard!$C$14,Hidden2!F27:F29,Hidden2!G27:G29)</f>
        <v>https://au.finance.yahoo.com/quote/AMZN</v>
      </c>
      <c r="F28" t="s">
        <v>7</v>
      </c>
    </row>
    <row r="29" spans="2:9" x14ac:dyDescent="0.35">
      <c r="F29" t="s">
        <v>8</v>
      </c>
      <c r="G29" t="s">
        <v>11</v>
      </c>
    </row>
    <row r="30" spans="2:9" x14ac:dyDescent="0.35">
      <c r="B30" t="s">
        <v>60</v>
      </c>
    </row>
    <row r="35" spans="2:3" x14ac:dyDescent="0.35">
      <c r="B35" t="s">
        <v>8</v>
      </c>
      <c r="C35" t="s">
        <v>39</v>
      </c>
    </row>
    <row r="36" spans="2:3" x14ac:dyDescent="0.35">
      <c r="B36" s="21" t="s">
        <v>9</v>
      </c>
      <c r="C36" t="s">
        <v>40</v>
      </c>
    </row>
    <row r="37" spans="2:3" x14ac:dyDescent="0.35">
      <c r="B37" t="s">
        <v>7</v>
      </c>
      <c r="C37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0FA88-B3EB-4D38-802D-0E117D155DA6}">
  <sheetPr codeName="Sheet2"/>
  <dimension ref="B2:S106"/>
  <sheetViews>
    <sheetView showGridLines="0" workbookViewId="0">
      <selection activeCell="M30" sqref="M30"/>
    </sheetView>
  </sheetViews>
  <sheetFormatPr defaultRowHeight="14.5" x14ac:dyDescent="0.35"/>
  <cols>
    <col min="2" max="2" width="8.36328125" customWidth="1"/>
    <col min="3" max="3" width="16.453125" customWidth="1"/>
    <col min="6" max="6" width="15.08984375" bestFit="1" customWidth="1"/>
    <col min="7" max="7" width="14.26953125" customWidth="1"/>
    <col min="15" max="15" width="18.81640625" customWidth="1"/>
  </cols>
  <sheetData>
    <row r="2" spans="2:19" x14ac:dyDescent="0.35">
      <c r="B2" s="1" t="s">
        <v>14</v>
      </c>
      <c r="C2" s="6">
        <f ca="1">NOW()</f>
        <v>45706.775090277777</v>
      </c>
    </row>
    <row r="3" spans="2:19" ht="15" thickBot="1" x14ac:dyDescent="0.4">
      <c r="B3" s="2" t="s">
        <v>0</v>
      </c>
      <c r="C3" s="3"/>
      <c r="D3" s="3"/>
    </row>
    <row r="5" spans="2:19" ht="15" thickBot="1" x14ac:dyDescent="0.4">
      <c r="B5" s="2" t="s">
        <v>12</v>
      </c>
      <c r="C5" s="5" t="s">
        <v>2</v>
      </c>
      <c r="D5" s="5" t="s">
        <v>3</v>
      </c>
      <c r="E5" s="5" t="s">
        <v>4</v>
      </c>
      <c r="G5" s="2" t="s">
        <v>13</v>
      </c>
      <c r="H5" s="5">
        <v>8</v>
      </c>
      <c r="J5" s="2" t="s">
        <v>27</v>
      </c>
      <c r="K5" s="3"/>
      <c r="L5" s="3"/>
      <c r="M5" s="3"/>
      <c r="O5" s="2" t="s">
        <v>38</v>
      </c>
      <c r="P5" s="3"/>
      <c r="R5" s="2" t="s">
        <v>44</v>
      </c>
      <c r="S5" s="3"/>
    </row>
    <row r="6" spans="2:19" x14ac:dyDescent="0.35">
      <c r="B6">
        <v>1</v>
      </c>
      <c r="C6" t="s">
        <v>34</v>
      </c>
      <c r="D6" t="s">
        <v>7</v>
      </c>
      <c r="E6">
        <v>1000</v>
      </c>
      <c r="O6" t="str">
        <f>IF(_xlfn.XLOOKUP(Hidden!J3,Hidden!$J$3:$J$103,Hidden!$M$3:$M$103)=0,"",_xlfn.XLOOKUP(Hidden!J3,Hidden!$J$3:$J$103,Hidden!$M$3:$M$103))</f>
        <v>Portfolio</v>
      </c>
      <c r="P6">
        <f>IF(Hidden!K3=0,"",Hidden!K3)</f>
        <v>0.19857373335350001</v>
      </c>
      <c r="R6" t="s">
        <v>7</v>
      </c>
      <c r="S6" s="8">
        <f>Hidden!P3/100</f>
        <v>1.6524974018945499E-2</v>
      </c>
    </row>
    <row r="7" spans="2:19" ht="15" thickBot="1" x14ac:dyDescent="0.4">
      <c r="B7">
        <v>2</v>
      </c>
      <c r="C7" t="s">
        <v>35</v>
      </c>
      <c r="D7" t="s">
        <v>7</v>
      </c>
      <c r="E7">
        <v>2000</v>
      </c>
      <c r="G7" s="4" t="s">
        <v>15</v>
      </c>
      <c r="H7" s="5" t="s">
        <v>17</v>
      </c>
      <c r="O7" t="str">
        <f>IF(_xlfn.XLOOKUP(Hidden!J4,Hidden!$J$3:$J$103,Hidden!$M$3:$M$103)=0,"",_xlfn.XLOOKUP(Hidden!J4,Hidden!$J$3:$J$103,Hidden!$M$3:$M$103))</f>
        <v>IONQ.Adjusted</v>
      </c>
      <c r="P7">
        <f>IF(Hidden!K4=0,"",Hidden!K4)</f>
        <v>0.63475275659410202</v>
      </c>
      <c r="R7" t="s">
        <v>39</v>
      </c>
      <c r="S7" s="8">
        <f>Hidden!P4/100</f>
        <v>1.7334238922150899E-2</v>
      </c>
    </row>
    <row r="8" spans="2:19" ht="15" thickBot="1" x14ac:dyDescent="0.4">
      <c r="B8">
        <v>3</v>
      </c>
      <c r="C8" t="s">
        <v>5</v>
      </c>
      <c r="D8" t="s">
        <v>7</v>
      </c>
      <c r="E8">
        <v>3000</v>
      </c>
      <c r="O8" t="str">
        <f>IF(_xlfn.XLOOKUP(Hidden!J5,Hidden!$J$3:$J$103,Hidden!$M$3:$M$103)=0,"",_xlfn.XLOOKUP(Hidden!J5,Hidden!$J$3:$J$103,Hidden!$M$3:$M$103))</f>
        <v>RGTI.Adjusted</v>
      </c>
      <c r="P8">
        <f>IF(Hidden!K5=0,"",Hidden!K5)</f>
        <v>0.77756968053727704</v>
      </c>
      <c r="R8" s="3" t="s">
        <v>40</v>
      </c>
      <c r="S8" s="9">
        <f>Hidden!P5/100</f>
        <v>1.6733512381777501E-2</v>
      </c>
    </row>
    <row r="9" spans="2:19" x14ac:dyDescent="0.35">
      <c r="B9">
        <v>4</v>
      </c>
      <c r="C9" t="s">
        <v>30</v>
      </c>
      <c r="D9" t="s">
        <v>9</v>
      </c>
      <c r="E9">
        <v>5000</v>
      </c>
      <c r="O9" t="str">
        <f>IF(_xlfn.XLOOKUP(Hidden!J6,Hidden!$J$3:$J$103,Hidden!$M$3:$M$103)=0,"",_xlfn.XLOOKUP(Hidden!J6,Hidden!$J$3:$J$103,Hidden!$M$3:$M$103))</f>
        <v>TSLA.Adjusted</v>
      </c>
      <c r="P9">
        <f>IF(Hidden!K6=0,"",Hidden!K6)</f>
        <v>0.48920932547006302</v>
      </c>
    </row>
    <row r="10" spans="2:19" x14ac:dyDescent="0.35">
      <c r="B10">
        <v>5</v>
      </c>
      <c r="C10" t="s">
        <v>6</v>
      </c>
      <c r="D10" t="s">
        <v>9</v>
      </c>
      <c r="E10">
        <v>500</v>
      </c>
      <c r="O10" t="str">
        <f>IF(_xlfn.XLOOKUP(Hidden!J7,Hidden!$J$3:$J$103,Hidden!$M$3:$M$103)=0,"",_xlfn.XLOOKUP(Hidden!J7,Hidden!$J$3:$J$103,Hidden!$M$3:$M$103))</f>
        <v>NAB.AX.Adjusted</v>
      </c>
      <c r="P10">
        <f>IF(Hidden!K7=0,"",Hidden!K7)</f>
        <v>0.15941243500709801</v>
      </c>
    </row>
    <row r="11" spans="2:19" x14ac:dyDescent="0.35">
      <c r="B11">
        <v>6</v>
      </c>
      <c r="C11" t="s">
        <v>32</v>
      </c>
      <c r="D11" t="s">
        <v>7</v>
      </c>
      <c r="E11">
        <v>1000</v>
      </c>
      <c r="O11" t="str">
        <f>IF(_xlfn.XLOOKUP(Hidden!J8,Hidden!$J$3:$J$103,Hidden!$M$3:$M$103)=0,"",_xlfn.XLOOKUP(Hidden!J8,Hidden!$J$3:$J$103,Hidden!$M$3:$M$103))</f>
        <v>CBA.AX.Adjusted</v>
      </c>
      <c r="P11">
        <f>IF(Hidden!K8=0,"",Hidden!K8)</f>
        <v>0.159875061895566</v>
      </c>
    </row>
    <row r="12" spans="2:19" x14ac:dyDescent="0.35">
      <c r="B12">
        <v>7</v>
      </c>
      <c r="C12" t="s">
        <v>28</v>
      </c>
      <c r="D12" t="s">
        <v>8</v>
      </c>
      <c r="E12">
        <v>3000</v>
      </c>
      <c r="O12" t="str">
        <f>IF(_xlfn.XLOOKUP(Hidden!J9,Hidden!$J$3:$J$103,Hidden!$M$3:$M$103)=0,"",_xlfn.XLOOKUP(Hidden!J9,Hidden!$J$3:$J$103,Hidden!$M$3:$M$103))</f>
        <v>GS.Adjusted</v>
      </c>
      <c r="P12">
        <f>IF(Hidden!K9=0,"",Hidden!K9)</f>
        <v>0.21627196952563199</v>
      </c>
    </row>
    <row r="13" spans="2:19" x14ac:dyDescent="0.35">
      <c r="B13">
        <v>8</v>
      </c>
      <c r="C13" t="s">
        <v>75</v>
      </c>
      <c r="D13" t="s">
        <v>7</v>
      </c>
      <c r="E13">
        <v>50</v>
      </c>
      <c r="O13" t="str">
        <f>IF(_xlfn.XLOOKUP(Hidden!J10,Hidden!$J$3:$J$103,Hidden!$M$3:$M$103)=0,"",_xlfn.XLOOKUP(Hidden!J10,Hidden!$J$3:$J$103,Hidden!$M$3:$M$103))</f>
        <v>RR.L.Adjusted</v>
      </c>
      <c r="P13">
        <f>IF(Hidden!K10=0,"",Hidden!K10)</f>
        <v>0.32723889705666198</v>
      </c>
    </row>
    <row r="14" spans="2:19" x14ac:dyDescent="0.35">
      <c r="B14">
        <v>9</v>
      </c>
      <c r="C14" t="s">
        <v>76</v>
      </c>
      <c r="D14" t="s">
        <v>7</v>
      </c>
      <c r="E14">
        <v>30000</v>
      </c>
      <c r="O14" t="str">
        <f>IF(_xlfn.XLOOKUP(Hidden!J11,Hidden!$J$3:$J$103,Hidden!$M$3:$M$103)=0,"",_xlfn.XLOOKUP(Hidden!J11,Hidden!$J$3:$J$103,Hidden!$M$3:$M$103))</f>
        <v>AAPL.Adjusted</v>
      </c>
      <c r="P14">
        <f>IF(Hidden!K11=0,"",Hidden!K11)</f>
        <v>0.22780641741646401</v>
      </c>
    </row>
    <row r="15" spans="2:19" x14ac:dyDescent="0.35">
      <c r="B15">
        <v>10</v>
      </c>
      <c r="C15" t="s">
        <v>77</v>
      </c>
      <c r="D15" t="s">
        <v>7</v>
      </c>
      <c r="E15">
        <v>1000</v>
      </c>
      <c r="O15" t="str">
        <f>IF(_xlfn.XLOOKUP(Hidden!J12,Hidden!$J$3:$J$103,Hidden!$M$3:$M$103)=0,"",_xlfn.XLOOKUP(Hidden!J12,Hidden!$J$3:$J$103,Hidden!$M$3:$M$103))</f>
        <v>NVDA.Adjusted</v>
      </c>
      <c r="P15">
        <f>IF(Hidden!K12=0,"",Hidden!K12)</f>
        <v>0.43645907504306802</v>
      </c>
    </row>
    <row r="16" spans="2:19" x14ac:dyDescent="0.35">
      <c r="B16">
        <v>11</v>
      </c>
      <c r="O16" t="str">
        <f>IF(_xlfn.XLOOKUP(Hidden!J13,Hidden!$J$3:$J$103,Hidden!$M$3:$M$103)=0,"",_xlfn.XLOOKUP(Hidden!J13,Hidden!$J$3:$J$103,Hidden!$M$3:$M$103))</f>
        <v>AMZN.Adjusted</v>
      </c>
      <c r="P16">
        <f>IF(Hidden!K13=0,"",Hidden!K13)</f>
        <v>0.28572062535332599</v>
      </c>
    </row>
    <row r="17" spans="2:16" x14ac:dyDescent="0.35">
      <c r="B17">
        <v>12</v>
      </c>
      <c r="O17" t="str">
        <f>IF(_xlfn.XLOOKUP(Hidden!J14,Hidden!$J$3:$J$103,Hidden!$M$3:$M$103)=0,"",_xlfn.XLOOKUP(Hidden!J14,Hidden!$J$3:$J$103,Hidden!$M$3:$M$103))</f>
        <v/>
      </c>
      <c r="P17" t="str">
        <f>IF(Hidden!K14=0,"",Hidden!K14)</f>
        <v/>
      </c>
    </row>
    <row r="18" spans="2:16" x14ac:dyDescent="0.35">
      <c r="B18">
        <v>13</v>
      </c>
      <c r="O18" t="str">
        <f>IF(_xlfn.XLOOKUP(Hidden!J15,Hidden!$J$3:$J$103,Hidden!$M$3:$M$103)=0,"",_xlfn.XLOOKUP(Hidden!J15,Hidden!$J$3:$J$103,Hidden!$M$3:$M$103))</f>
        <v/>
      </c>
      <c r="P18" t="str">
        <f>IF(Hidden!K15=0,"",Hidden!K15)</f>
        <v/>
      </c>
    </row>
    <row r="19" spans="2:16" x14ac:dyDescent="0.35">
      <c r="B19">
        <v>14</v>
      </c>
      <c r="O19" t="str">
        <f>IF(_xlfn.XLOOKUP(Hidden!J16,Hidden!$J$3:$J$103,Hidden!$M$3:$M$103)=0,"",_xlfn.XLOOKUP(Hidden!J16,Hidden!$J$3:$J$103,Hidden!$M$3:$M$103))</f>
        <v/>
      </c>
      <c r="P19" t="str">
        <f>IF(Hidden!K16=0,"",Hidden!K16)</f>
        <v/>
      </c>
    </row>
    <row r="20" spans="2:16" x14ac:dyDescent="0.35">
      <c r="B20">
        <v>15</v>
      </c>
      <c r="O20" t="str">
        <f>IF(_xlfn.XLOOKUP(Hidden!J17,Hidden!$J$3:$J$103,Hidden!$M$3:$M$103)=0,"",_xlfn.XLOOKUP(Hidden!J17,Hidden!$J$3:$J$103,Hidden!$M$3:$M$103))</f>
        <v/>
      </c>
      <c r="P20" t="str">
        <f>IF(Hidden!K17=0,"",Hidden!K17)</f>
        <v/>
      </c>
    </row>
    <row r="21" spans="2:16" x14ac:dyDescent="0.35">
      <c r="B21">
        <v>16</v>
      </c>
      <c r="O21" t="str">
        <f>IF(_xlfn.XLOOKUP(Hidden!J18,Hidden!$J$3:$J$103,Hidden!$M$3:$M$103)=0,"",_xlfn.XLOOKUP(Hidden!J18,Hidden!$J$3:$J$103,Hidden!$M$3:$M$103))</f>
        <v/>
      </c>
      <c r="P21" t="str">
        <f>IF(Hidden!K18=0,"",Hidden!K18)</f>
        <v/>
      </c>
    </row>
    <row r="22" spans="2:16" x14ac:dyDescent="0.35">
      <c r="B22">
        <v>17</v>
      </c>
      <c r="O22" t="str">
        <f>IF(_xlfn.XLOOKUP(Hidden!J19,Hidden!$J$3:$J$103,Hidden!$M$3:$M$103)=0,"",_xlfn.XLOOKUP(Hidden!J19,Hidden!$J$3:$J$103,Hidden!$M$3:$M$103))</f>
        <v/>
      </c>
      <c r="P22" t="str">
        <f>IF(Hidden!K19=0,"",Hidden!K19)</f>
        <v/>
      </c>
    </row>
    <row r="23" spans="2:16" x14ac:dyDescent="0.35">
      <c r="B23">
        <v>18</v>
      </c>
      <c r="O23" t="str">
        <f>IF(_xlfn.XLOOKUP(Hidden!J20,Hidden!$J$3:$J$103,Hidden!$M$3:$M$103)=0,"",_xlfn.XLOOKUP(Hidden!J20,Hidden!$J$3:$J$103,Hidden!$M$3:$M$103))</f>
        <v/>
      </c>
      <c r="P23" t="str">
        <f>IF(Hidden!K20=0,"",Hidden!K20)</f>
        <v/>
      </c>
    </row>
    <row r="24" spans="2:16" x14ac:dyDescent="0.35">
      <c r="B24">
        <v>19</v>
      </c>
      <c r="O24" t="str">
        <f>IF(_xlfn.XLOOKUP(Hidden!J21,Hidden!$J$3:$J$103,Hidden!$M$3:$M$103)=0,"",_xlfn.XLOOKUP(Hidden!J21,Hidden!$J$3:$J$103,Hidden!$M$3:$M$103))</f>
        <v/>
      </c>
      <c r="P24" t="str">
        <f>IF(Hidden!K21=0,"",Hidden!K21)</f>
        <v/>
      </c>
    </row>
    <row r="25" spans="2:16" x14ac:dyDescent="0.35">
      <c r="B25">
        <v>20</v>
      </c>
      <c r="O25" t="str">
        <f>IF(_xlfn.XLOOKUP(Hidden!J22,Hidden!$J$3:$J$103,Hidden!$M$3:$M$103)=0,"",_xlfn.XLOOKUP(Hidden!J22,Hidden!$J$3:$J$103,Hidden!$M$3:$M$103))</f>
        <v/>
      </c>
      <c r="P25" t="str">
        <f>IF(Hidden!K22=0,"",Hidden!K22)</f>
        <v/>
      </c>
    </row>
    <row r="26" spans="2:16" x14ac:dyDescent="0.35">
      <c r="B26">
        <v>21</v>
      </c>
      <c r="O26" t="str">
        <f>IF(_xlfn.XLOOKUP(Hidden!J23,Hidden!$J$3:$J$103,Hidden!$M$3:$M$103)=0,"",_xlfn.XLOOKUP(Hidden!J23,Hidden!$J$3:$J$103,Hidden!$M$3:$M$103))</f>
        <v/>
      </c>
      <c r="P26" t="str">
        <f>IF(Hidden!K23=0,"",Hidden!K23)</f>
        <v/>
      </c>
    </row>
    <row r="27" spans="2:16" x14ac:dyDescent="0.35">
      <c r="B27">
        <v>22</v>
      </c>
      <c r="O27" t="str">
        <f>IF(_xlfn.XLOOKUP(Hidden!J24,Hidden!$J$3:$J$103,Hidden!$M$3:$M$103)=0,"",_xlfn.XLOOKUP(Hidden!J24,Hidden!$J$3:$J$103,Hidden!$M$3:$M$103))</f>
        <v/>
      </c>
      <c r="P27" t="str">
        <f>IF(Hidden!K24=0,"",Hidden!K24)</f>
        <v/>
      </c>
    </row>
    <row r="28" spans="2:16" x14ac:dyDescent="0.35">
      <c r="B28">
        <v>23</v>
      </c>
      <c r="O28" t="str">
        <f>IF(_xlfn.XLOOKUP(Hidden!J25,Hidden!$J$3:$J$103,Hidden!$M$3:$M$103)=0,"",_xlfn.XLOOKUP(Hidden!J25,Hidden!$J$3:$J$103,Hidden!$M$3:$M$103))</f>
        <v/>
      </c>
      <c r="P28" t="str">
        <f>IF(Hidden!K25=0,"",Hidden!K25)</f>
        <v/>
      </c>
    </row>
    <row r="29" spans="2:16" x14ac:dyDescent="0.35">
      <c r="B29">
        <v>24</v>
      </c>
      <c r="O29" t="str">
        <f>IF(_xlfn.XLOOKUP(Hidden!J26,Hidden!$J$3:$J$103,Hidden!$M$3:$M$103)=0,"",_xlfn.XLOOKUP(Hidden!J26,Hidden!$J$3:$J$103,Hidden!$M$3:$M$103))</f>
        <v/>
      </c>
      <c r="P29" t="str">
        <f>IF(Hidden!K26=0,"",Hidden!K26)</f>
        <v/>
      </c>
    </row>
    <row r="30" spans="2:16" x14ac:dyDescent="0.35">
      <c r="B30">
        <v>25</v>
      </c>
      <c r="O30" t="str">
        <f>IF(_xlfn.XLOOKUP(Hidden!J27,Hidden!$J$3:$J$103,Hidden!$M$3:$M$103)=0,"",_xlfn.XLOOKUP(Hidden!J27,Hidden!$J$3:$J$103,Hidden!$M$3:$M$103))</f>
        <v/>
      </c>
      <c r="P30" t="str">
        <f>IF(Hidden!K27=0,"",Hidden!K27)</f>
        <v/>
      </c>
    </row>
    <row r="31" spans="2:16" x14ac:dyDescent="0.35">
      <c r="B31">
        <v>26</v>
      </c>
      <c r="O31" t="str">
        <f>IF(_xlfn.XLOOKUP(Hidden!J28,Hidden!$J$3:$J$103,Hidden!$M$3:$M$103)=0,"",_xlfn.XLOOKUP(Hidden!J28,Hidden!$J$3:$J$103,Hidden!$M$3:$M$103))</f>
        <v/>
      </c>
      <c r="P31" t="str">
        <f>IF(Hidden!K28=0,"",Hidden!K28)</f>
        <v/>
      </c>
    </row>
    <row r="32" spans="2:16" x14ac:dyDescent="0.35">
      <c r="B32">
        <v>27</v>
      </c>
      <c r="O32" t="str">
        <f>IF(_xlfn.XLOOKUP(Hidden!J29,Hidden!$J$3:$J$103,Hidden!$M$3:$M$103)=0,"",_xlfn.XLOOKUP(Hidden!J29,Hidden!$J$3:$J$103,Hidden!$M$3:$M$103))</f>
        <v/>
      </c>
      <c r="P32" t="str">
        <f>IF(Hidden!K29=0,"",Hidden!K29)</f>
        <v/>
      </c>
    </row>
    <row r="33" spans="2:16" x14ac:dyDescent="0.35">
      <c r="B33">
        <v>28</v>
      </c>
      <c r="O33" t="str">
        <f>IF(_xlfn.XLOOKUP(Hidden!J30,Hidden!$J$3:$J$103,Hidden!$M$3:$M$103)=0,"",_xlfn.XLOOKUP(Hidden!J30,Hidden!$J$3:$J$103,Hidden!$M$3:$M$103))</f>
        <v/>
      </c>
      <c r="P33" t="str">
        <f>IF(Hidden!K30=0,"",Hidden!K30)</f>
        <v/>
      </c>
    </row>
    <row r="34" spans="2:16" x14ac:dyDescent="0.35">
      <c r="B34">
        <v>29</v>
      </c>
      <c r="O34" t="str">
        <f>IF(_xlfn.XLOOKUP(Hidden!J31,Hidden!$J$3:$J$103,Hidden!$M$3:$M$103)=0,"",_xlfn.XLOOKUP(Hidden!J31,Hidden!$J$3:$J$103,Hidden!$M$3:$M$103))</f>
        <v/>
      </c>
      <c r="P34" t="str">
        <f>IF(Hidden!K31=0,"",Hidden!K31)</f>
        <v/>
      </c>
    </row>
    <row r="35" spans="2:16" x14ac:dyDescent="0.35">
      <c r="B35">
        <v>30</v>
      </c>
      <c r="O35" t="str">
        <f>IF(_xlfn.XLOOKUP(Hidden!J32,Hidden!$J$3:$J$103,Hidden!$M$3:$M$103)=0,"",_xlfn.XLOOKUP(Hidden!J32,Hidden!$J$3:$J$103,Hidden!$M$3:$M$103))</f>
        <v/>
      </c>
      <c r="P35" t="str">
        <f>IF(Hidden!K32=0,"",Hidden!K32)</f>
        <v/>
      </c>
    </row>
    <row r="36" spans="2:16" x14ac:dyDescent="0.35">
      <c r="B36">
        <v>31</v>
      </c>
      <c r="O36" t="str">
        <f>IF(_xlfn.XLOOKUP(Hidden!J33,Hidden!$J$3:$J$103,Hidden!$M$3:$M$103)=0,"",_xlfn.XLOOKUP(Hidden!J33,Hidden!$J$3:$J$103,Hidden!$M$3:$M$103))</f>
        <v/>
      </c>
      <c r="P36" t="str">
        <f>IF(Hidden!K33=0,"",Hidden!K33)</f>
        <v/>
      </c>
    </row>
    <row r="37" spans="2:16" x14ac:dyDescent="0.35">
      <c r="B37">
        <v>32</v>
      </c>
      <c r="O37" t="str">
        <f>IF(_xlfn.XLOOKUP(Hidden!J34,Hidden!$J$3:$J$103,Hidden!$M$3:$M$103)=0,"",_xlfn.XLOOKUP(Hidden!J34,Hidden!$J$3:$J$103,Hidden!$M$3:$M$103))</f>
        <v/>
      </c>
      <c r="P37" t="str">
        <f>IF(Hidden!K34=0,"",Hidden!K34)</f>
        <v/>
      </c>
    </row>
    <row r="38" spans="2:16" x14ac:dyDescent="0.35">
      <c r="B38">
        <v>33</v>
      </c>
      <c r="O38" t="str">
        <f>IF(_xlfn.XLOOKUP(Hidden!J35,Hidden!$J$3:$J$103,Hidden!$M$3:$M$103)=0,"",_xlfn.XLOOKUP(Hidden!J35,Hidden!$J$3:$J$103,Hidden!$M$3:$M$103))</f>
        <v/>
      </c>
      <c r="P38" t="str">
        <f>IF(Hidden!K35=0,"",Hidden!K35)</f>
        <v/>
      </c>
    </row>
    <row r="39" spans="2:16" x14ac:dyDescent="0.35">
      <c r="B39">
        <v>34</v>
      </c>
      <c r="O39" t="str">
        <f>IF(_xlfn.XLOOKUP(Hidden!J36,Hidden!$J$3:$J$103,Hidden!$M$3:$M$103)=0,"",_xlfn.XLOOKUP(Hidden!J36,Hidden!$J$3:$J$103,Hidden!$M$3:$M$103))</f>
        <v/>
      </c>
      <c r="P39" t="str">
        <f>IF(Hidden!K36=0,"",Hidden!K36)</f>
        <v/>
      </c>
    </row>
    <row r="40" spans="2:16" x14ac:dyDescent="0.35">
      <c r="B40">
        <v>35</v>
      </c>
      <c r="O40" t="str">
        <f>IF(_xlfn.XLOOKUP(Hidden!J37,Hidden!$J$3:$J$103,Hidden!$M$3:$M$103)=0,"",_xlfn.XLOOKUP(Hidden!J37,Hidden!$J$3:$J$103,Hidden!$M$3:$M$103))</f>
        <v/>
      </c>
      <c r="P40" t="str">
        <f>IF(Hidden!K37=0,"",Hidden!K37)</f>
        <v/>
      </c>
    </row>
    <row r="41" spans="2:16" x14ac:dyDescent="0.35">
      <c r="B41">
        <v>36</v>
      </c>
      <c r="O41" t="str">
        <f>IF(_xlfn.XLOOKUP(Hidden!J38,Hidden!$J$3:$J$103,Hidden!$M$3:$M$103)=0,"",_xlfn.XLOOKUP(Hidden!J38,Hidden!$J$3:$J$103,Hidden!$M$3:$M$103))</f>
        <v/>
      </c>
      <c r="P41" t="str">
        <f>IF(Hidden!K38=0,"",Hidden!K38)</f>
        <v/>
      </c>
    </row>
    <row r="42" spans="2:16" x14ac:dyDescent="0.35">
      <c r="B42">
        <v>37</v>
      </c>
      <c r="O42" t="str">
        <f>IF(_xlfn.XLOOKUP(Hidden!J39,Hidden!$J$3:$J$103,Hidden!$M$3:$M$103)=0,"",_xlfn.XLOOKUP(Hidden!J39,Hidden!$J$3:$J$103,Hidden!$M$3:$M$103))</f>
        <v/>
      </c>
      <c r="P42" t="str">
        <f>IF(Hidden!K39=0,"",Hidden!K39)</f>
        <v/>
      </c>
    </row>
    <row r="43" spans="2:16" x14ac:dyDescent="0.35">
      <c r="B43">
        <v>38</v>
      </c>
      <c r="O43" t="str">
        <f>IF(_xlfn.XLOOKUP(Hidden!J40,Hidden!$J$3:$J$103,Hidden!$M$3:$M$103)=0,"",_xlfn.XLOOKUP(Hidden!J40,Hidden!$J$3:$J$103,Hidden!$M$3:$M$103))</f>
        <v/>
      </c>
      <c r="P43" t="str">
        <f>IF(Hidden!K40=0,"",Hidden!K40)</f>
        <v/>
      </c>
    </row>
    <row r="44" spans="2:16" x14ac:dyDescent="0.35">
      <c r="B44">
        <v>39</v>
      </c>
      <c r="O44" t="str">
        <f>IF(_xlfn.XLOOKUP(Hidden!J41,Hidden!$J$3:$J$103,Hidden!$M$3:$M$103)=0,"",_xlfn.XLOOKUP(Hidden!J41,Hidden!$J$3:$J$103,Hidden!$M$3:$M$103))</f>
        <v/>
      </c>
      <c r="P44" t="str">
        <f>IF(Hidden!K41=0,"",Hidden!K41)</f>
        <v/>
      </c>
    </row>
    <row r="45" spans="2:16" x14ac:dyDescent="0.35">
      <c r="B45">
        <v>40</v>
      </c>
      <c r="O45" t="str">
        <f>IF(_xlfn.XLOOKUP(Hidden!J42,Hidden!$J$3:$J$103,Hidden!$M$3:$M$103)=0,"",_xlfn.XLOOKUP(Hidden!J42,Hidden!$J$3:$J$103,Hidden!$M$3:$M$103))</f>
        <v/>
      </c>
      <c r="P45" t="str">
        <f>IF(Hidden!K42=0,"",Hidden!K42)</f>
        <v/>
      </c>
    </row>
    <row r="46" spans="2:16" x14ac:dyDescent="0.35">
      <c r="B46">
        <v>41</v>
      </c>
      <c r="O46" t="str">
        <f>IF(_xlfn.XLOOKUP(Hidden!J43,Hidden!$J$3:$J$103,Hidden!$M$3:$M$103)=0,"",_xlfn.XLOOKUP(Hidden!J43,Hidden!$J$3:$J$103,Hidden!$M$3:$M$103))</f>
        <v/>
      </c>
      <c r="P46" t="str">
        <f>IF(Hidden!K43=0,"",Hidden!K43)</f>
        <v/>
      </c>
    </row>
    <row r="47" spans="2:16" x14ac:dyDescent="0.35">
      <c r="B47">
        <v>42</v>
      </c>
      <c r="O47" t="str">
        <f>IF(_xlfn.XLOOKUP(Hidden!J44,Hidden!$J$3:$J$103,Hidden!$M$3:$M$103)=0,"",_xlfn.XLOOKUP(Hidden!J44,Hidden!$J$3:$J$103,Hidden!$M$3:$M$103))</f>
        <v/>
      </c>
      <c r="P47" t="str">
        <f>IF(Hidden!K44=0,"",Hidden!K44)</f>
        <v/>
      </c>
    </row>
    <row r="48" spans="2:16" x14ac:dyDescent="0.35">
      <c r="B48">
        <v>43</v>
      </c>
      <c r="O48" t="str">
        <f>IF(_xlfn.XLOOKUP(Hidden!J45,Hidden!$J$3:$J$103,Hidden!$M$3:$M$103)=0,"",_xlfn.XLOOKUP(Hidden!J45,Hidden!$J$3:$J$103,Hidden!$M$3:$M$103))</f>
        <v/>
      </c>
      <c r="P48" t="str">
        <f>IF(Hidden!K45=0,"",Hidden!K45)</f>
        <v/>
      </c>
    </row>
    <row r="49" spans="2:16" x14ac:dyDescent="0.35">
      <c r="B49">
        <v>44</v>
      </c>
      <c r="O49" t="str">
        <f>IF(_xlfn.XLOOKUP(Hidden!J46,Hidden!$J$3:$J$103,Hidden!$M$3:$M$103)=0,"",_xlfn.XLOOKUP(Hidden!J46,Hidden!$J$3:$J$103,Hidden!$M$3:$M$103))</f>
        <v/>
      </c>
      <c r="P49" t="str">
        <f>IF(Hidden!K46=0,"",Hidden!K46)</f>
        <v/>
      </c>
    </row>
    <row r="50" spans="2:16" x14ac:dyDescent="0.35">
      <c r="B50">
        <v>45</v>
      </c>
      <c r="O50" t="str">
        <f>IF(_xlfn.XLOOKUP(Hidden!J47,Hidden!$J$3:$J$103,Hidden!$M$3:$M$103)=0,"",_xlfn.XLOOKUP(Hidden!J47,Hidden!$J$3:$J$103,Hidden!$M$3:$M$103))</f>
        <v/>
      </c>
      <c r="P50" t="str">
        <f>IF(Hidden!K47=0,"",Hidden!K47)</f>
        <v/>
      </c>
    </row>
    <row r="51" spans="2:16" x14ac:dyDescent="0.35">
      <c r="B51">
        <v>46</v>
      </c>
      <c r="O51" t="str">
        <f>IF(_xlfn.XLOOKUP(Hidden!J48,Hidden!$J$3:$J$103,Hidden!$M$3:$M$103)=0,"",_xlfn.XLOOKUP(Hidden!J48,Hidden!$J$3:$J$103,Hidden!$M$3:$M$103))</f>
        <v/>
      </c>
      <c r="P51" t="str">
        <f>IF(Hidden!K48=0,"",Hidden!K48)</f>
        <v/>
      </c>
    </row>
    <row r="52" spans="2:16" x14ac:dyDescent="0.35">
      <c r="B52">
        <v>47</v>
      </c>
      <c r="O52" t="str">
        <f>IF(_xlfn.XLOOKUP(Hidden!J49,Hidden!$J$3:$J$103,Hidden!$M$3:$M$103)=0,"",_xlfn.XLOOKUP(Hidden!J49,Hidden!$J$3:$J$103,Hidden!$M$3:$M$103))</f>
        <v/>
      </c>
      <c r="P52" t="str">
        <f>IF(Hidden!K49=0,"",Hidden!K49)</f>
        <v/>
      </c>
    </row>
    <row r="53" spans="2:16" x14ac:dyDescent="0.35">
      <c r="B53">
        <v>48</v>
      </c>
      <c r="O53" t="str">
        <f>IF(_xlfn.XLOOKUP(Hidden!J50,Hidden!$J$3:$J$103,Hidden!$M$3:$M$103)=0,"",_xlfn.XLOOKUP(Hidden!J50,Hidden!$J$3:$J$103,Hidden!$M$3:$M$103))</f>
        <v/>
      </c>
      <c r="P53" t="str">
        <f>IF(Hidden!K50=0,"",Hidden!K50)</f>
        <v/>
      </c>
    </row>
    <row r="54" spans="2:16" x14ac:dyDescent="0.35">
      <c r="B54">
        <v>49</v>
      </c>
      <c r="O54" t="str">
        <f>IF(_xlfn.XLOOKUP(Hidden!J51,Hidden!$J$3:$J$103,Hidden!$M$3:$M$103)=0,"",_xlfn.XLOOKUP(Hidden!J51,Hidden!$J$3:$J$103,Hidden!$M$3:$M$103))</f>
        <v/>
      </c>
      <c r="P54" t="str">
        <f>IF(Hidden!K51=0,"",Hidden!K51)</f>
        <v/>
      </c>
    </row>
    <row r="55" spans="2:16" x14ac:dyDescent="0.35">
      <c r="B55">
        <v>50</v>
      </c>
      <c r="O55" t="str">
        <f>IF(_xlfn.XLOOKUP(Hidden!J52,Hidden!$J$3:$J$103,Hidden!$M$3:$M$103)=0,"",_xlfn.XLOOKUP(Hidden!J52,Hidden!$J$3:$J$103,Hidden!$M$3:$M$103))</f>
        <v/>
      </c>
      <c r="P55" t="str">
        <f>IF(Hidden!K52=0,"",Hidden!K52)</f>
        <v/>
      </c>
    </row>
    <row r="56" spans="2:16" x14ac:dyDescent="0.35">
      <c r="B56">
        <v>51</v>
      </c>
      <c r="O56" t="str">
        <f>IF(_xlfn.XLOOKUP(Hidden!J53,Hidden!$J$3:$J$103,Hidden!$M$3:$M$103)=0,"",_xlfn.XLOOKUP(Hidden!J53,Hidden!$J$3:$J$103,Hidden!$M$3:$M$103))</f>
        <v/>
      </c>
      <c r="P56" t="str">
        <f>IF(Hidden!K53=0,"",Hidden!K53)</f>
        <v/>
      </c>
    </row>
    <row r="57" spans="2:16" x14ac:dyDescent="0.35">
      <c r="B57">
        <v>52</v>
      </c>
      <c r="O57" t="str">
        <f>IF(_xlfn.XLOOKUP(Hidden!J54,Hidden!$J$3:$J$103,Hidden!$M$3:$M$103)=0,"",_xlfn.XLOOKUP(Hidden!J54,Hidden!$J$3:$J$103,Hidden!$M$3:$M$103))</f>
        <v/>
      </c>
      <c r="P57" t="str">
        <f>IF(Hidden!K54=0,"",Hidden!K54)</f>
        <v/>
      </c>
    </row>
    <row r="58" spans="2:16" x14ac:dyDescent="0.35">
      <c r="B58">
        <v>53</v>
      </c>
      <c r="O58" t="str">
        <f>IF(_xlfn.XLOOKUP(Hidden!J55,Hidden!$J$3:$J$103,Hidden!$M$3:$M$103)=0,"",_xlfn.XLOOKUP(Hidden!J55,Hidden!$J$3:$J$103,Hidden!$M$3:$M$103))</f>
        <v/>
      </c>
      <c r="P58" t="str">
        <f>IF(Hidden!K55=0,"",Hidden!K55)</f>
        <v/>
      </c>
    </row>
    <row r="59" spans="2:16" x14ac:dyDescent="0.35">
      <c r="B59">
        <v>54</v>
      </c>
      <c r="O59" t="str">
        <f>IF(_xlfn.XLOOKUP(Hidden!J56,Hidden!$J$3:$J$103,Hidden!$M$3:$M$103)=0,"",_xlfn.XLOOKUP(Hidden!J56,Hidden!$J$3:$J$103,Hidden!$M$3:$M$103))</f>
        <v/>
      </c>
      <c r="P59" t="str">
        <f>IF(Hidden!K56=0,"",Hidden!K56)</f>
        <v/>
      </c>
    </row>
    <row r="60" spans="2:16" x14ac:dyDescent="0.35">
      <c r="B60">
        <v>55</v>
      </c>
      <c r="O60" t="str">
        <f>IF(_xlfn.XLOOKUP(Hidden!J57,Hidden!$J$3:$J$103,Hidden!$M$3:$M$103)=0,"",_xlfn.XLOOKUP(Hidden!J57,Hidden!$J$3:$J$103,Hidden!$M$3:$M$103))</f>
        <v/>
      </c>
      <c r="P60" t="str">
        <f>IF(Hidden!K57=0,"",Hidden!K57)</f>
        <v/>
      </c>
    </row>
    <row r="61" spans="2:16" x14ac:dyDescent="0.35">
      <c r="B61">
        <v>56</v>
      </c>
      <c r="O61" t="str">
        <f>IF(_xlfn.XLOOKUP(Hidden!J58,Hidden!$J$3:$J$103,Hidden!$M$3:$M$103)=0,"",_xlfn.XLOOKUP(Hidden!J58,Hidden!$J$3:$J$103,Hidden!$M$3:$M$103))</f>
        <v/>
      </c>
      <c r="P61" t="str">
        <f>IF(Hidden!K58=0,"",Hidden!K58)</f>
        <v/>
      </c>
    </row>
    <row r="62" spans="2:16" x14ac:dyDescent="0.35">
      <c r="B62">
        <v>57</v>
      </c>
      <c r="O62" t="str">
        <f>IF(_xlfn.XLOOKUP(Hidden!J59,Hidden!$J$3:$J$103,Hidden!$M$3:$M$103)=0,"",_xlfn.XLOOKUP(Hidden!J59,Hidden!$J$3:$J$103,Hidden!$M$3:$M$103))</f>
        <v/>
      </c>
      <c r="P62" t="str">
        <f>IF(Hidden!K59=0,"",Hidden!K59)</f>
        <v/>
      </c>
    </row>
    <row r="63" spans="2:16" x14ac:dyDescent="0.35">
      <c r="B63">
        <v>58</v>
      </c>
      <c r="O63" t="str">
        <f>IF(_xlfn.XLOOKUP(Hidden!J60,Hidden!$J$3:$J$103,Hidden!$M$3:$M$103)=0,"",_xlfn.XLOOKUP(Hidden!J60,Hidden!$J$3:$J$103,Hidden!$M$3:$M$103))</f>
        <v/>
      </c>
      <c r="P63" t="str">
        <f>IF(Hidden!K60=0,"",Hidden!K60)</f>
        <v/>
      </c>
    </row>
    <row r="64" spans="2:16" x14ac:dyDescent="0.35">
      <c r="B64">
        <v>59</v>
      </c>
      <c r="O64" t="str">
        <f>IF(_xlfn.XLOOKUP(Hidden!J61,Hidden!$J$3:$J$103,Hidden!$M$3:$M$103)=0,"",_xlfn.XLOOKUP(Hidden!J61,Hidden!$J$3:$J$103,Hidden!$M$3:$M$103))</f>
        <v/>
      </c>
      <c r="P64" t="str">
        <f>IF(Hidden!K61=0,"",Hidden!K61)</f>
        <v/>
      </c>
    </row>
    <row r="65" spans="2:16" x14ac:dyDescent="0.35">
      <c r="B65">
        <v>60</v>
      </c>
      <c r="O65" t="str">
        <f>IF(_xlfn.XLOOKUP(Hidden!J62,Hidden!$J$3:$J$103,Hidden!$M$3:$M$103)=0,"",_xlfn.XLOOKUP(Hidden!J62,Hidden!$J$3:$J$103,Hidden!$M$3:$M$103))</f>
        <v/>
      </c>
      <c r="P65" t="str">
        <f>IF(Hidden!K62=0,"",Hidden!K62)</f>
        <v/>
      </c>
    </row>
    <row r="66" spans="2:16" x14ac:dyDescent="0.35">
      <c r="B66">
        <v>61</v>
      </c>
      <c r="O66" t="str">
        <f>IF(_xlfn.XLOOKUP(Hidden!J63,Hidden!$J$3:$J$103,Hidden!$M$3:$M$103)=0,"",_xlfn.XLOOKUP(Hidden!J63,Hidden!$J$3:$J$103,Hidden!$M$3:$M$103))</f>
        <v/>
      </c>
      <c r="P66" t="str">
        <f>IF(Hidden!K63=0,"",Hidden!K63)</f>
        <v/>
      </c>
    </row>
    <row r="67" spans="2:16" x14ac:dyDescent="0.35">
      <c r="B67">
        <v>62</v>
      </c>
      <c r="O67" t="str">
        <f>IF(_xlfn.XLOOKUP(Hidden!J64,Hidden!$J$3:$J$103,Hidden!$M$3:$M$103)=0,"",_xlfn.XLOOKUP(Hidden!J64,Hidden!$J$3:$J$103,Hidden!$M$3:$M$103))</f>
        <v/>
      </c>
      <c r="P67" t="str">
        <f>IF(Hidden!K64=0,"",Hidden!K64)</f>
        <v/>
      </c>
    </row>
    <row r="68" spans="2:16" x14ac:dyDescent="0.35">
      <c r="B68">
        <v>63</v>
      </c>
      <c r="O68" t="str">
        <f>IF(_xlfn.XLOOKUP(Hidden!J65,Hidden!$J$3:$J$103,Hidden!$M$3:$M$103)=0,"",_xlfn.XLOOKUP(Hidden!J65,Hidden!$J$3:$J$103,Hidden!$M$3:$M$103))</f>
        <v/>
      </c>
      <c r="P68" t="str">
        <f>IF(Hidden!K65=0,"",Hidden!K65)</f>
        <v/>
      </c>
    </row>
    <row r="69" spans="2:16" x14ac:dyDescent="0.35">
      <c r="B69">
        <v>64</v>
      </c>
      <c r="O69" t="str">
        <f>IF(_xlfn.XLOOKUP(Hidden!J66,Hidden!$J$3:$J$103,Hidden!$M$3:$M$103)=0,"",_xlfn.XLOOKUP(Hidden!J66,Hidden!$J$3:$J$103,Hidden!$M$3:$M$103))</f>
        <v/>
      </c>
      <c r="P69" t="str">
        <f>IF(Hidden!K66=0,"",Hidden!K66)</f>
        <v/>
      </c>
    </row>
    <row r="70" spans="2:16" x14ac:dyDescent="0.35">
      <c r="B70">
        <v>65</v>
      </c>
      <c r="O70" t="str">
        <f>IF(_xlfn.XLOOKUP(Hidden!J67,Hidden!$J$3:$J$103,Hidden!$M$3:$M$103)=0,"",_xlfn.XLOOKUP(Hidden!J67,Hidden!$J$3:$J$103,Hidden!$M$3:$M$103))</f>
        <v/>
      </c>
      <c r="P70" t="str">
        <f>IF(Hidden!K67=0,"",Hidden!K67)</f>
        <v/>
      </c>
    </row>
    <row r="71" spans="2:16" x14ac:dyDescent="0.35">
      <c r="B71">
        <v>66</v>
      </c>
      <c r="O71" t="str">
        <f>IF(_xlfn.XLOOKUP(Hidden!J68,Hidden!$J$3:$J$103,Hidden!$M$3:$M$103)=0,"",_xlfn.XLOOKUP(Hidden!J68,Hidden!$J$3:$J$103,Hidden!$M$3:$M$103))</f>
        <v/>
      </c>
      <c r="P71" t="str">
        <f>IF(Hidden!K68=0,"",Hidden!K68)</f>
        <v/>
      </c>
    </row>
    <row r="72" spans="2:16" x14ac:dyDescent="0.35">
      <c r="B72">
        <v>67</v>
      </c>
      <c r="O72" t="str">
        <f>IF(_xlfn.XLOOKUP(Hidden!J69,Hidden!$J$3:$J$103,Hidden!$M$3:$M$103)=0,"",_xlfn.XLOOKUP(Hidden!J69,Hidden!$J$3:$J$103,Hidden!$M$3:$M$103))</f>
        <v/>
      </c>
      <c r="P72" t="str">
        <f>IF(Hidden!K69=0,"",Hidden!K69)</f>
        <v/>
      </c>
    </row>
    <row r="73" spans="2:16" x14ac:dyDescent="0.35">
      <c r="B73">
        <v>68</v>
      </c>
      <c r="O73" t="str">
        <f>IF(_xlfn.XLOOKUP(Hidden!J70,Hidden!$J$3:$J$103,Hidden!$M$3:$M$103)=0,"",_xlfn.XLOOKUP(Hidden!J70,Hidden!$J$3:$J$103,Hidden!$M$3:$M$103))</f>
        <v/>
      </c>
      <c r="P73" t="str">
        <f>IF(Hidden!K70=0,"",Hidden!K70)</f>
        <v/>
      </c>
    </row>
    <row r="74" spans="2:16" x14ac:dyDescent="0.35">
      <c r="B74">
        <v>69</v>
      </c>
      <c r="O74" t="str">
        <f>IF(_xlfn.XLOOKUP(Hidden!J71,Hidden!$J$3:$J$103,Hidden!$M$3:$M$103)=0,"",_xlfn.XLOOKUP(Hidden!J71,Hidden!$J$3:$J$103,Hidden!$M$3:$M$103))</f>
        <v/>
      </c>
      <c r="P74" t="str">
        <f>IF(Hidden!K71=0,"",Hidden!K71)</f>
        <v/>
      </c>
    </row>
    <row r="75" spans="2:16" x14ac:dyDescent="0.35">
      <c r="B75">
        <v>70</v>
      </c>
      <c r="O75" t="str">
        <f>IF(_xlfn.XLOOKUP(Hidden!J72,Hidden!$J$3:$J$103,Hidden!$M$3:$M$103)=0,"",_xlfn.XLOOKUP(Hidden!J72,Hidden!$J$3:$J$103,Hidden!$M$3:$M$103))</f>
        <v/>
      </c>
      <c r="P75" t="str">
        <f>IF(Hidden!K72=0,"",Hidden!K72)</f>
        <v/>
      </c>
    </row>
    <row r="76" spans="2:16" x14ac:dyDescent="0.35">
      <c r="B76">
        <v>71</v>
      </c>
      <c r="O76" t="str">
        <f>IF(_xlfn.XLOOKUP(Hidden!J73,Hidden!$J$3:$J$103,Hidden!$M$3:$M$103)=0,"",_xlfn.XLOOKUP(Hidden!J73,Hidden!$J$3:$J$103,Hidden!$M$3:$M$103))</f>
        <v/>
      </c>
      <c r="P76" t="str">
        <f>IF(Hidden!K73=0,"",Hidden!K73)</f>
        <v/>
      </c>
    </row>
    <row r="77" spans="2:16" x14ac:dyDescent="0.35">
      <c r="B77">
        <v>72</v>
      </c>
      <c r="O77" t="str">
        <f>IF(_xlfn.XLOOKUP(Hidden!J74,Hidden!$J$3:$J$103,Hidden!$M$3:$M$103)=0,"",_xlfn.XLOOKUP(Hidden!J74,Hidden!$J$3:$J$103,Hidden!$M$3:$M$103))</f>
        <v/>
      </c>
      <c r="P77" t="str">
        <f>IF(Hidden!K74=0,"",Hidden!K74)</f>
        <v/>
      </c>
    </row>
    <row r="78" spans="2:16" x14ac:dyDescent="0.35">
      <c r="B78">
        <v>73</v>
      </c>
      <c r="O78" t="str">
        <f>IF(_xlfn.XLOOKUP(Hidden!J75,Hidden!$J$3:$J$103,Hidden!$M$3:$M$103)=0,"",_xlfn.XLOOKUP(Hidden!J75,Hidden!$J$3:$J$103,Hidden!$M$3:$M$103))</f>
        <v/>
      </c>
      <c r="P78" t="str">
        <f>IF(Hidden!K75=0,"",Hidden!K75)</f>
        <v/>
      </c>
    </row>
    <row r="79" spans="2:16" x14ac:dyDescent="0.35">
      <c r="B79">
        <v>74</v>
      </c>
      <c r="O79" t="str">
        <f>IF(_xlfn.XLOOKUP(Hidden!J76,Hidden!$J$3:$J$103,Hidden!$M$3:$M$103)=0,"",_xlfn.XLOOKUP(Hidden!J76,Hidden!$J$3:$J$103,Hidden!$M$3:$M$103))</f>
        <v/>
      </c>
      <c r="P79" t="str">
        <f>IF(Hidden!K76=0,"",Hidden!K76)</f>
        <v/>
      </c>
    </row>
    <row r="80" spans="2:16" x14ac:dyDescent="0.35">
      <c r="B80">
        <v>75</v>
      </c>
      <c r="O80" t="str">
        <f>IF(_xlfn.XLOOKUP(Hidden!J77,Hidden!$J$3:$J$103,Hidden!$M$3:$M$103)=0,"",_xlfn.XLOOKUP(Hidden!J77,Hidden!$J$3:$J$103,Hidden!$M$3:$M$103))</f>
        <v/>
      </c>
      <c r="P80" t="str">
        <f>IF(Hidden!K77=0,"",Hidden!K77)</f>
        <v/>
      </c>
    </row>
    <row r="81" spans="2:16" x14ac:dyDescent="0.35">
      <c r="B81">
        <v>76</v>
      </c>
      <c r="O81" t="str">
        <f>IF(_xlfn.XLOOKUP(Hidden!J78,Hidden!$J$3:$J$103,Hidden!$M$3:$M$103)=0,"",_xlfn.XLOOKUP(Hidden!J78,Hidden!$J$3:$J$103,Hidden!$M$3:$M$103))</f>
        <v/>
      </c>
      <c r="P81" t="str">
        <f>IF(Hidden!K78=0,"",Hidden!K78)</f>
        <v/>
      </c>
    </row>
    <row r="82" spans="2:16" x14ac:dyDescent="0.35">
      <c r="B82">
        <v>77</v>
      </c>
      <c r="O82" t="str">
        <f>IF(_xlfn.XLOOKUP(Hidden!J79,Hidden!$J$3:$J$103,Hidden!$M$3:$M$103)=0,"",_xlfn.XLOOKUP(Hidden!J79,Hidden!$J$3:$J$103,Hidden!$M$3:$M$103))</f>
        <v/>
      </c>
      <c r="P82" t="str">
        <f>IF(Hidden!K79=0,"",Hidden!K79)</f>
        <v/>
      </c>
    </row>
    <row r="83" spans="2:16" x14ac:dyDescent="0.35">
      <c r="B83">
        <v>78</v>
      </c>
      <c r="O83" t="str">
        <f>IF(_xlfn.XLOOKUP(Hidden!J80,Hidden!$J$3:$J$103,Hidden!$M$3:$M$103)=0,"",_xlfn.XLOOKUP(Hidden!J80,Hidden!$J$3:$J$103,Hidden!$M$3:$M$103))</f>
        <v/>
      </c>
      <c r="P83" t="str">
        <f>IF(Hidden!K80=0,"",Hidden!K80)</f>
        <v/>
      </c>
    </row>
    <row r="84" spans="2:16" x14ac:dyDescent="0.35">
      <c r="B84">
        <v>79</v>
      </c>
      <c r="O84" t="str">
        <f>IF(_xlfn.XLOOKUP(Hidden!J81,Hidden!$J$3:$J$103,Hidden!$M$3:$M$103)=0,"",_xlfn.XLOOKUP(Hidden!J81,Hidden!$J$3:$J$103,Hidden!$M$3:$M$103))</f>
        <v/>
      </c>
      <c r="P84" t="str">
        <f>IF(Hidden!K81=0,"",Hidden!K81)</f>
        <v/>
      </c>
    </row>
    <row r="85" spans="2:16" x14ac:dyDescent="0.35">
      <c r="B85">
        <v>80</v>
      </c>
      <c r="O85" t="str">
        <f>IF(_xlfn.XLOOKUP(Hidden!J82,Hidden!$J$3:$J$103,Hidden!$M$3:$M$103)=0,"",_xlfn.XLOOKUP(Hidden!J82,Hidden!$J$3:$J$103,Hidden!$M$3:$M$103))</f>
        <v/>
      </c>
      <c r="P85" t="str">
        <f>IF(Hidden!K82=0,"",Hidden!K82)</f>
        <v/>
      </c>
    </row>
    <row r="86" spans="2:16" x14ac:dyDescent="0.35">
      <c r="B86">
        <v>81</v>
      </c>
      <c r="O86" t="str">
        <f>IF(_xlfn.XLOOKUP(Hidden!J83,Hidden!$J$3:$J$103,Hidden!$M$3:$M$103)=0,"",_xlfn.XLOOKUP(Hidden!J83,Hidden!$J$3:$J$103,Hidden!$M$3:$M$103))</f>
        <v/>
      </c>
      <c r="P86" t="str">
        <f>IF(Hidden!K83=0,"",Hidden!K83)</f>
        <v/>
      </c>
    </row>
    <row r="87" spans="2:16" x14ac:dyDescent="0.35">
      <c r="B87">
        <v>82</v>
      </c>
      <c r="O87" t="str">
        <f>IF(_xlfn.XLOOKUP(Hidden!J84,Hidden!$J$3:$J$103,Hidden!$M$3:$M$103)=0,"",_xlfn.XLOOKUP(Hidden!J84,Hidden!$J$3:$J$103,Hidden!$M$3:$M$103))</f>
        <v/>
      </c>
      <c r="P87" t="str">
        <f>IF(Hidden!K84=0,"",Hidden!K84)</f>
        <v/>
      </c>
    </row>
    <row r="88" spans="2:16" x14ac:dyDescent="0.35">
      <c r="B88">
        <v>83</v>
      </c>
      <c r="O88" t="str">
        <f>IF(_xlfn.XLOOKUP(Hidden!J85,Hidden!$J$3:$J$103,Hidden!$M$3:$M$103)=0,"",_xlfn.XLOOKUP(Hidden!J85,Hidden!$J$3:$J$103,Hidden!$M$3:$M$103))</f>
        <v/>
      </c>
      <c r="P88" t="str">
        <f>IF(Hidden!K85=0,"",Hidden!K85)</f>
        <v/>
      </c>
    </row>
    <row r="89" spans="2:16" x14ac:dyDescent="0.35">
      <c r="B89">
        <v>84</v>
      </c>
      <c r="O89" t="str">
        <f>IF(_xlfn.XLOOKUP(Hidden!J86,Hidden!$J$3:$J$103,Hidden!$M$3:$M$103)=0,"",_xlfn.XLOOKUP(Hidden!J86,Hidden!$J$3:$J$103,Hidden!$M$3:$M$103))</f>
        <v/>
      </c>
      <c r="P89" t="str">
        <f>IF(Hidden!K86=0,"",Hidden!K86)</f>
        <v/>
      </c>
    </row>
    <row r="90" spans="2:16" x14ac:dyDescent="0.35">
      <c r="B90">
        <v>85</v>
      </c>
      <c r="O90" t="str">
        <f>IF(_xlfn.XLOOKUP(Hidden!J87,Hidden!$J$3:$J$103,Hidden!$M$3:$M$103)=0,"",_xlfn.XLOOKUP(Hidden!J87,Hidden!$J$3:$J$103,Hidden!$M$3:$M$103))</f>
        <v/>
      </c>
      <c r="P90" t="str">
        <f>IF(Hidden!K87=0,"",Hidden!K87)</f>
        <v/>
      </c>
    </row>
    <row r="91" spans="2:16" x14ac:dyDescent="0.35">
      <c r="B91">
        <v>86</v>
      </c>
      <c r="O91" t="str">
        <f>IF(_xlfn.XLOOKUP(Hidden!J88,Hidden!$J$3:$J$103,Hidden!$M$3:$M$103)=0,"",_xlfn.XLOOKUP(Hidden!J88,Hidden!$J$3:$J$103,Hidden!$M$3:$M$103))</f>
        <v/>
      </c>
      <c r="P91" t="str">
        <f>IF(Hidden!K88=0,"",Hidden!K88)</f>
        <v/>
      </c>
    </row>
    <row r="92" spans="2:16" x14ac:dyDescent="0.35">
      <c r="B92">
        <v>87</v>
      </c>
      <c r="O92" t="str">
        <f>IF(_xlfn.XLOOKUP(Hidden!J89,Hidden!$J$3:$J$103,Hidden!$M$3:$M$103)=0,"",_xlfn.XLOOKUP(Hidden!J89,Hidden!$J$3:$J$103,Hidden!$M$3:$M$103))</f>
        <v/>
      </c>
      <c r="P92" t="str">
        <f>IF(Hidden!K89=0,"",Hidden!K89)</f>
        <v/>
      </c>
    </row>
    <row r="93" spans="2:16" x14ac:dyDescent="0.35">
      <c r="B93">
        <v>88</v>
      </c>
      <c r="O93" t="str">
        <f>IF(_xlfn.XLOOKUP(Hidden!J90,Hidden!$J$3:$J$103,Hidden!$M$3:$M$103)=0,"",_xlfn.XLOOKUP(Hidden!J90,Hidden!$J$3:$J$103,Hidden!$M$3:$M$103))</f>
        <v/>
      </c>
      <c r="P93" t="str">
        <f>IF(Hidden!K90=0,"",Hidden!K90)</f>
        <v/>
      </c>
    </row>
    <row r="94" spans="2:16" x14ac:dyDescent="0.35">
      <c r="B94">
        <v>89</v>
      </c>
      <c r="O94" t="str">
        <f>IF(_xlfn.XLOOKUP(Hidden!J91,Hidden!$J$3:$J$103,Hidden!$M$3:$M$103)=0,"",_xlfn.XLOOKUP(Hidden!J91,Hidden!$J$3:$J$103,Hidden!$M$3:$M$103))</f>
        <v/>
      </c>
      <c r="P94" t="str">
        <f>IF(Hidden!K91=0,"",Hidden!K91)</f>
        <v/>
      </c>
    </row>
    <row r="95" spans="2:16" x14ac:dyDescent="0.35">
      <c r="B95">
        <v>90</v>
      </c>
      <c r="O95" t="str">
        <f>IF(_xlfn.XLOOKUP(Hidden!J92,Hidden!$J$3:$J$103,Hidden!$M$3:$M$103)=0,"",_xlfn.XLOOKUP(Hidden!J92,Hidden!$J$3:$J$103,Hidden!$M$3:$M$103))</f>
        <v/>
      </c>
      <c r="P95" t="str">
        <f>IF(Hidden!K92=0,"",Hidden!K92)</f>
        <v/>
      </c>
    </row>
    <row r="96" spans="2:16" x14ac:dyDescent="0.35">
      <c r="B96">
        <v>91</v>
      </c>
      <c r="O96" t="str">
        <f>IF(_xlfn.XLOOKUP(Hidden!J93,Hidden!$J$3:$J$103,Hidden!$M$3:$M$103)=0,"",_xlfn.XLOOKUP(Hidden!J93,Hidden!$J$3:$J$103,Hidden!$M$3:$M$103))</f>
        <v/>
      </c>
      <c r="P96" t="str">
        <f>IF(Hidden!K93=0,"",Hidden!K93)</f>
        <v/>
      </c>
    </row>
    <row r="97" spans="2:16" x14ac:dyDescent="0.35">
      <c r="B97">
        <v>92</v>
      </c>
      <c r="O97" t="str">
        <f>IF(_xlfn.XLOOKUP(Hidden!J94,Hidden!$J$3:$J$103,Hidden!$M$3:$M$103)=0,"",_xlfn.XLOOKUP(Hidden!J94,Hidden!$J$3:$J$103,Hidden!$M$3:$M$103))</f>
        <v/>
      </c>
      <c r="P97" t="str">
        <f>IF(Hidden!K94=0,"",Hidden!K94)</f>
        <v/>
      </c>
    </row>
    <row r="98" spans="2:16" x14ac:dyDescent="0.35">
      <c r="B98">
        <v>93</v>
      </c>
      <c r="O98" t="str">
        <f>IF(_xlfn.XLOOKUP(Hidden!J95,Hidden!$J$3:$J$103,Hidden!$M$3:$M$103)=0,"",_xlfn.XLOOKUP(Hidden!J95,Hidden!$J$3:$J$103,Hidden!$M$3:$M$103))</f>
        <v/>
      </c>
      <c r="P98" t="str">
        <f>IF(Hidden!K95=0,"",Hidden!K95)</f>
        <v/>
      </c>
    </row>
    <row r="99" spans="2:16" x14ac:dyDescent="0.35">
      <c r="B99">
        <v>94</v>
      </c>
      <c r="O99" t="str">
        <f>IF(_xlfn.XLOOKUP(Hidden!J96,Hidden!$J$3:$J$103,Hidden!$M$3:$M$103)=0,"",_xlfn.XLOOKUP(Hidden!J96,Hidden!$J$3:$J$103,Hidden!$M$3:$M$103))</f>
        <v/>
      </c>
      <c r="P99" t="str">
        <f>IF(Hidden!K96=0,"",Hidden!K96)</f>
        <v/>
      </c>
    </row>
    <row r="100" spans="2:16" x14ac:dyDescent="0.35">
      <c r="B100">
        <v>95</v>
      </c>
      <c r="O100" t="str">
        <f>IF(_xlfn.XLOOKUP(Hidden!J97,Hidden!$J$3:$J$103,Hidden!$M$3:$M$103)=0,"",_xlfn.XLOOKUP(Hidden!J97,Hidden!$J$3:$J$103,Hidden!$M$3:$M$103))</f>
        <v/>
      </c>
      <c r="P100" t="str">
        <f>IF(Hidden!K97=0,"",Hidden!K97)</f>
        <v/>
      </c>
    </row>
    <row r="101" spans="2:16" x14ac:dyDescent="0.35">
      <c r="B101">
        <v>96</v>
      </c>
      <c r="O101" t="str">
        <f>IF(_xlfn.XLOOKUP(Hidden!J98,Hidden!$J$3:$J$103,Hidden!$M$3:$M$103)=0,"",_xlfn.XLOOKUP(Hidden!J98,Hidden!$J$3:$J$103,Hidden!$M$3:$M$103))</f>
        <v/>
      </c>
      <c r="P101" t="str">
        <f>IF(Hidden!K98=0,"",Hidden!K98)</f>
        <v/>
      </c>
    </row>
    <row r="102" spans="2:16" x14ac:dyDescent="0.35">
      <c r="B102">
        <v>97</v>
      </c>
      <c r="O102" t="str">
        <f>IF(_xlfn.XLOOKUP(Hidden!J99,Hidden!$J$3:$J$103,Hidden!$M$3:$M$103)=0,"",_xlfn.XLOOKUP(Hidden!J99,Hidden!$J$3:$J$103,Hidden!$M$3:$M$103))</f>
        <v/>
      </c>
      <c r="P102" t="str">
        <f>IF(Hidden!K99=0,"",Hidden!K99)</f>
        <v/>
      </c>
    </row>
    <row r="103" spans="2:16" x14ac:dyDescent="0.35">
      <c r="B103">
        <v>98</v>
      </c>
      <c r="O103" t="str">
        <f>IF(_xlfn.XLOOKUP(Hidden!J100,Hidden!$J$3:$J$103,Hidden!$M$3:$M$103)=0,"",_xlfn.XLOOKUP(Hidden!J100,Hidden!$J$3:$J$103,Hidden!$M$3:$M$103))</f>
        <v/>
      </c>
      <c r="P103" t="str">
        <f>IF(Hidden!K100=0,"",Hidden!K100)</f>
        <v/>
      </c>
    </row>
    <row r="104" spans="2:16" x14ac:dyDescent="0.35">
      <c r="B104">
        <v>99</v>
      </c>
    </row>
    <row r="105" spans="2:16" x14ac:dyDescent="0.35">
      <c r="B105">
        <v>100</v>
      </c>
    </row>
    <row r="106" spans="2:16" ht="15" thickBot="1" x14ac:dyDescent="0.4">
      <c r="B106">
        <v>101</v>
      </c>
      <c r="C106" s="3"/>
      <c r="E106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xportHiddenRangesToCSV">
                <anchor moveWithCells="1" sizeWithCells="1">
                  <from>
                    <xdr:col>9</xdr:col>
                    <xdr:colOff>12700</xdr:colOff>
                    <xdr:row>5</xdr:row>
                    <xdr:rowOff>38100</xdr:rowOff>
                  </from>
                  <to>
                    <xdr:col>13</xdr:col>
                    <xdr:colOff>6350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ImportAndTransposeCSV">
                <anchor moveWithCells="1" sizeWithCells="1">
                  <from>
                    <xdr:col>9</xdr:col>
                    <xdr:colOff>0</xdr:colOff>
                    <xdr:row>13</xdr:row>
                    <xdr:rowOff>12700</xdr:rowOff>
                  </from>
                  <to>
                    <xdr:col>13</xdr:col>
                    <xdr:colOff>6350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RunBatchFile">
                <anchor moveWithCells="1" sizeWithCells="1">
                  <from>
                    <xdr:col>9</xdr:col>
                    <xdr:colOff>0</xdr:colOff>
                    <xdr:row>9</xdr:row>
                    <xdr:rowOff>19050</xdr:rowOff>
                  </from>
                  <to>
                    <xdr:col>13</xdr:col>
                    <xdr:colOff>6350</xdr:colOff>
                    <xdr:row>12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ReplaceCellsWithZero">
                <anchor moveWithCells="1" sizeWithCells="1">
                  <from>
                    <xdr:col>8</xdr:col>
                    <xdr:colOff>596900</xdr:colOff>
                    <xdr:row>19</xdr:row>
                    <xdr:rowOff>63500</xdr:rowOff>
                  </from>
                  <to>
                    <xdr:col>12</xdr:col>
                    <xdr:colOff>603250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D2B0C59-E2DE-4768-98F9-A2FA2667E870}">
          <x14:formula1>
            <xm:f>Hidden!$B$9:$B$10</xm:f>
          </x14:formula1>
          <xm:sqref>H7</xm:sqref>
        </x14:dataValidation>
        <x14:dataValidation type="list" allowBlank="1" showInputMessage="1" showErrorMessage="1" xr:uid="{C9AFFD49-09A7-41E3-BAE9-BCA7019C8CA7}">
          <x14:formula1>
            <xm:f>Hidden!$B$3:$B$6</xm:f>
          </x14:formula1>
          <xm:sqref>D6:D106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188BF-27CB-451A-95BC-961A1891F02A}">
  <dimension ref="B2:Q26"/>
  <sheetViews>
    <sheetView showGridLines="0" tabSelected="1" workbookViewId="0">
      <selection activeCell="F12" sqref="F12"/>
    </sheetView>
  </sheetViews>
  <sheetFormatPr defaultRowHeight="14.5" x14ac:dyDescent="0.35"/>
  <cols>
    <col min="2" max="2" width="21.81640625" customWidth="1"/>
    <col min="3" max="3" width="15.08984375" bestFit="1" customWidth="1"/>
    <col min="7" max="7" width="10.08984375" bestFit="1" customWidth="1"/>
  </cols>
  <sheetData>
    <row r="2" spans="2:17" ht="15" thickBot="1" x14ac:dyDescent="0.4">
      <c r="B2" s="2" t="s">
        <v>61</v>
      </c>
      <c r="C2" s="6">
        <f ca="1">NOW()</f>
        <v>45706.775090277777</v>
      </c>
    </row>
    <row r="4" spans="2:17" ht="15" thickBot="1" x14ac:dyDescent="0.4">
      <c r="B4" s="2" t="s">
        <v>62</v>
      </c>
      <c r="C4" s="3"/>
      <c r="E4" s="2" t="s">
        <v>63</v>
      </c>
      <c r="F4" s="3"/>
      <c r="G4" s="3"/>
      <c r="I4" s="2" t="s">
        <v>64</v>
      </c>
      <c r="J4" s="3"/>
      <c r="K4" s="3"/>
      <c r="L4" s="3"/>
      <c r="M4" s="3"/>
      <c r="N4" s="3"/>
      <c r="O4" s="3"/>
      <c r="P4" s="3"/>
      <c r="Q4" s="3"/>
    </row>
    <row r="6" spans="2:17" x14ac:dyDescent="0.35">
      <c r="B6" s="1" t="s">
        <v>65</v>
      </c>
      <c r="C6" s="13" t="s">
        <v>77</v>
      </c>
      <c r="E6" s="1" t="s">
        <v>66</v>
      </c>
      <c r="F6" s="13" t="s">
        <v>46</v>
      </c>
    </row>
    <row r="7" spans="2:17" x14ac:dyDescent="0.35">
      <c r="B7" s="1"/>
      <c r="E7" s="1" t="s">
        <v>50</v>
      </c>
      <c r="F7" s="14">
        <f ca="1">MAX(_xlfn.XLOOKUP(F6,Hidden2!B3:B4,Hidden2!C3:C4),0)</f>
        <v>1.0890658568603868</v>
      </c>
    </row>
    <row r="8" spans="2:17" x14ac:dyDescent="0.35">
      <c r="B8" s="1" t="s">
        <v>67</v>
      </c>
      <c r="C8" s="15">
        <v>45746</v>
      </c>
    </row>
    <row r="10" spans="2:17" x14ac:dyDescent="0.35">
      <c r="B10" s="1" t="s">
        <v>69</v>
      </c>
      <c r="C10" s="16">
        <v>0</v>
      </c>
    </row>
    <row r="12" spans="2:17" x14ac:dyDescent="0.35">
      <c r="B12" s="1" t="s">
        <v>71</v>
      </c>
      <c r="C12" s="17">
        <v>250</v>
      </c>
    </row>
    <row r="14" spans="2:17" ht="15" thickBot="1" x14ac:dyDescent="0.4">
      <c r="B14" s="1" t="s">
        <v>73</v>
      </c>
      <c r="C14" s="20" t="str">
        <f>_xlfn.XLOOKUP(C6,Controls!C6:C106,Controls!D6:D106)</f>
        <v>US</v>
      </c>
    </row>
    <row r="15" spans="2:17" ht="15" thickTop="1" x14ac:dyDescent="0.35"/>
    <row r="16" spans="2:17" ht="15" thickBot="1" x14ac:dyDescent="0.4">
      <c r="B16" s="1" t="s">
        <v>70</v>
      </c>
      <c r="C16" s="22">
        <f>_xlfn.XLOOKUP(_xlfn.XLOOKUP(C14,Hidden2!C35:C37,Hidden2!B35:B37),Controls!R6:R8,Controls!S6:S8)</f>
        <v>1.6524974018945499E-2</v>
      </c>
    </row>
    <row r="17" spans="2:3" ht="15" thickTop="1" x14ac:dyDescent="0.35"/>
    <row r="18" spans="2:3" ht="15" thickBot="1" x14ac:dyDescent="0.4">
      <c r="B18" s="1" t="s">
        <v>68</v>
      </c>
      <c r="C18" s="18">
        <f>_xlfn.XLOOKUP(Dashboard!C6,Controls!C6:C106,Controls!P7:P107)</f>
        <v>0.28572062535332599</v>
      </c>
    </row>
    <row r="19" spans="2:3" ht="15" thickTop="1" x14ac:dyDescent="0.35"/>
    <row r="20" spans="2:3" ht="15" thickBot="1" x14ac:dyDescent="0.4">
      <c r="B20" s="1" t="s">
        <v>74</v>
      </c>
      <c r="C20" s="18" vm="4">
        <f ca="1">INDEX(Hidden2!B9:C11,MATCH(MAX(Hidden2!B9:B11),Hidden2!B9:B11,0),2)</f>
        <v>228.68</v>
      </c>
    </row>
    <row r="21" spans="2:3" ht="15" thickTop="1" x14ac:dyDescent="0.35"/>
    <row r="23" spans="2:3" x14ac:dyDescent="0.35">
      <c r="B23" s="1" t="str">
        <f>"Yahoo Finance link of"&amp;" "&amp;C6</f>
        <v>Yahoo Finance link of AMZN</v>
      </c>
    </row>
    <row r="24" spans="2:3" x14ac:dyDescent="0.35">
      <c r="B24" s="19" t="str">
        <f>HYPERLINK(Hidden2!B28, "Visit "&amp;C6&amp;" on Yahoo Finance")</f>
        <v>Visit AMZN on Yahoo Finance</v>
      </c>
    </row>
    <row r="25" spans="2:3" x14ac:dyDescent="0.35">
      <c r="B25" s="1" t="s">
        <v>72</v>
      </c>
    </row>
    <row r="26" spans="2:3" x14ac:dyDescent="0.35">
      <c r="B26" s="19" t="str">
        <f>HYPERLINK(Hidden2!B30, "Visit my LinkedIn!")</f>
        <v>Visit my LinkedIn!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932F318-FB0B-4FAB-A55D-93D926B09375}">
          <x14:formula1>
            <xm:f>Hidden2!$B$3:$B$4</xm:f>
          </x14:formula1>
          <xm:sqref>F6</xm:sqref>
        </x14:dataValidation>
        <x14:dataValidation type="list" allowBlank="1" showInputMessage="1" showErrorMessage="1" xr:uid="{49AF6AAA-3773-4302-A933-82CD5E8203E6}">
          <x14:formula1>
            <xm:f>Controls!$C$6:$C$106</xm:f>
          </x14:formula1>
          <xm:sqref>C6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Hidden</vt:lpstr>
      <vt:lpstr>Hidden2</vt:lpstr>
      <vt:lpstr>Controls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Lee</dc:creator>
  <cp:lastModifiedBy>Peter Lee</cp:lastModifiedBy>
  <dcterms:created xsi:type="dcterms:W3CDTF">2025-02-17T03:25:58Z</dcterms:created>
  <dcterms:modified xsi:type="dcterms:W3CDTF">2025-02-18T07:36:07Z</dcterms:modified>
</cp:coreProperties>
</file>